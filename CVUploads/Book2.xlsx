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13_ncr:1_{C03422FC-7A25-4767-9F1B-7046CB20877C}" xr6:coauthVersionLast="47" xr6:coauthVersionMax="47" xr10:uidLastSave="{00000000-0000-0000-0000-000000000000}"/>
  <bookViews>
    <workbookView xWindow="-108" yWindow="-108" windowWidth="23256" windowHeight="12456" xr2:uid="{BD035973-3657-47FC-A479-6B348828C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27" i="1" l="1"/>
  <c r="BC22" i="1"/>
  <c r="BC14" i="1"/>
  <c r="BC9" i="1"/>
</calcChain>
</file>

<file path=xl/sharedStrings.xml><?xml version="1.0" encoding="utf-8"?>
<sst xmlns="http://schemas.openxmlformats.org/spreadsheetml/2006/main" count="346" uniqueCount="186">
  <si>
    <t>Sr</t>
  </si>
  <si>
    <t>Emp_Name</t>
  </si>
  <si>
    <t>Department</t>
  </si>
  <si>
    <t>Designation</t>
  </si>
  <si>
    <t>New Designation</t>
  </si>
  <si>
    <t>Days</t>
  </si>
  <si>
    <t>Petrol Allowance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</si>
  <si>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</si>
  <si>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</si>
  <si>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</si>
  <si>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</si>
  <si>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</si>
  <si>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</si>
  <si>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</si>
  <si>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</si>
  <si>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</si>
  <si>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</si>
  <si>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Basic</t>
  </si>
  <si>
    <t>Basic Inc</t>
  </si>
  <si>
    <t>Basic Revised</t>
  </si>
  <si>
    <t>HRA</t>
  </si>
  <si>
    <t>HRA Inc</t>
  </si>
  <si>
    <t>HRA Revised</t>
  </si>
  <si>
    <t>PA</t>
  </si>
  <si>
    <t>PA Inc</t>
  </si>
  <si>
    <t>PA Revised</t>
  </si>
  <si>
    <t>DS</t>
  </si>
  <si>
    <t>DS Inc</t>
  </si>
  <si>
    <t>DS Revised</t>
  </si>
  <si>
    <t>PF</t>
  </si>
  <si>
    <t>PF Inc</t>
  </si>
  <si>
    <t>PF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</si>
  <si>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</si>
  <si>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</si>
  <si>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</si>
  <si>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</si>
  <si>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</si>
  <si>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</si>
  <si>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</si>
  <si>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</si>
  <si>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</si>
  <si>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ESIC</t>
  </si>
  <si>
    <t>ESIC Inc</t>
  </si>
  <si>
    <t>ESIC Revised</t>
  </si>
  <si>
    <t>Total A</t>
  </si>
  <si>
    <t>Total A Inc</t>
  </si>
  <si>
    <t>Total A Revised</t>
  </si>
  <si>
    <t>Total ABC</t>
  </si>
  <si>
    <t>Whole Year Incr Amount</t>
  </si>
  <si>
    <t>Total ABC Inc</t>
  </si>
  <si>
    <t>Total ABC Revised</t>
  </si>
  <si>
    <t>Total CTC ABC</t>
  </si>
  <si>
    <t>Total ABC CTC Inc</t>
  </si>
  <si>
    <t>Total ABC CTC Revised</t>
  </si>
  <si>
    <t>EmailID</t>
  </si>
  <si>
    <t>Email HOD</t>
  </si>
  <si>
    <t>Uni All</t>
  </si>
  <si>
    <t>Uni Allo Inc</t>
  </si>
  <si>
    <t>Uni Allow Revised</t>
  </si>
  <si>
    <t xml:space="preserve">Conv </t>
  </si>
  <si>
    <t>Conv Inc</t>
  </si>
  <si>
    <t>Conv Revi</t>
  </si>
  <si>
    <t>Loy Bon</t>
  </si>
  <si>
    <t>Loy Bon Inc</t>
  </si>
  <si>
    <t>Loy Bon Revised</t>
  </si>
  <si>
    <t>Var Pay</t>
  </si>
  <si>
    <t>Var Pay In</t>
  </si>
  <si>
    <t>Var Pay Rev</t>
  </si>
  <si>
    <t>Total B</t>
  </si>
  <si>
    <t>Total B Inc</t>
  </si>
  <si>
    <t>Total B Revised</t>
  </si>
  <si>
    <t>Total C</t>
  </si>
  <si>
    <t>Total C Inc</t>
  </si>
  <si>
    <t>Total C Revised</t>
  </si>
  <si>
    <t>Performance Bonus</t>
  </si>
  <si>
    <t>Performance Bonus In</t>
  </si>
  <si>
    <t>Performance Bonus Rev</t>
  </si>
  <si>
    <t>Standard Inc</t>
  </si>
  <si>
    <t>Retention Bonus</t>
  </si>
  <si>
    <t>Retention Bonus In</t>
  </si>
  <si>
    <t>Retention Bonus Rev</t>
  </si>
  <si>
    <t>Kolkata</t>
  </si>
  <si>
    <t>production</t>
  </si>
  <si>
    <t>AM</t>
  </si>
  <si>
    <t>Sunil Sharma</t>
  </si>
  <si>
    <t xml:space="preserve">Jalna </t>
  </si>
  <si>
    <t>sales</t>
  </si>
  <si>
    <t>DM</t>
  </si>
  <si>
    <t>Vishal Kulkarni</t>
  </si>
  <si>
    <t>itsupport@vikramtea.com</t>
  </si>
  <si>
    <t>ERPID</t>
  </si>
  <si>
    <t>HR-EMP-43</t>
  </si>
  <si>
    <t>HR-EMP-11026</t>
  </si>
  <si>
    <t>HR-EMP-1353</t>
  </si>
  <si>
    <t>mumbai</t>
  </si>
  <si>
    <t>marketing</t>
  </si>
  <si>
    <t>MGR</t>
  </si>
  <si>
    <t>HR-EMP-00872</t>
  </si>
  <si>
    <t>andhra</t>
  </si>
  <si>
    <t>Quality</t>
  </si>
  <si>
    <t>Director</t>
  </si>
  <si>
    <t>Kalpesh Ladda</t>
  </si>
  <si>
    <t>HR-EMP-12495</t>
  </si>
  <si>
    <t>karnataka</t>
  </si>
  <si>
    <t>SO</t>
  </si>
  <si>
    <t>ASE</t>
  </si>
  <si>
    <t>Mr.</t>
  </si>
  <si>
    <t>Ms.</t>
  </si>
  <si>
    <t>Shishir Mishra</t>
  </si>
  <si>
    <t>HR-EMP-10243</t>
  </si>
  <si>
    <t>Test Employee - 1</t>
  </si>
  <si>
    <t>IT</t>
  </si>
  <si>
    <t>Engineer</t>
  </si>
  <si>
    <t>Senior Engineer</t>
  </si>
  <si>
    <t>Senior developer</t>
  </si>
  <si>
    <t>Excellent</t>
  </si>
  <si>
    <t>Exemplary</t>
  </si>
  <si>
    <t>Human Resources and Administration</t>
  </si>
  <si>
    <t>bhavnajoshi2277@gmail.com</t>
  </si>
  <si>
    <t>kalpesh.ladda@vikramtea.com</t>
  </si>
  <si>
    <t>HR-EMP-10234</t>
  </si>
  <si>
    <t>Test ABC</t>
  </si>
  <si>
    <t>Accounts</t>
  </si>
  <si>
    <t>Accountant</t>
  </si>
  <si>
    <t>Officer - Accounts</t>
  </si>
  <si>
    <t>Satisfactory</t>
  </si>
  <si>
    <t>Average</t>
  </si>
  <si>
    <t>Head - Finance &amp; Accounts</t>
  </si>
  <si>
    <t>HR-EMP-134</t>
  </si>
  <si>
    <t>XYZ</t>
  </si>
  <si>
    <t>HR</t>
  </si>
  <si>
    <t>Executive</t>
  </si>
  <si>
    <t xml:space="preserve">Directore Operation </t>
  </si>
  <si>
    <t>vishal.kulkarni@vikramtea.com</t>
  </si>
  <si>
    <t>MD</t>
  </si>
  <si>
    <t>we</t>
  </si>
  <si>
    <t>Below Satisfactory</t>
  </si>
  <si>
    <t>Renuka Madan Lad</t>
  </si>
  <si>
    <t>Xyz abc 1</t>
  </si>
  <si>
    <t>abc</t>
  </si>
  <si>
    <t>Admin</t>
  </si>
  <si>
    <t>Very Good</t>
  </si>
  <si>
    <t>Remarkable</t>
  </si>
  <si>
    <t>HR-EMP-111</t>
  </si>
  <si>
    <t>HR-EMP-123</t>
  </si>
  <si>
    <t>HR-EMP-1145</t>
  </si>
  <si>
    <t>HR-EMP-2312</t>
  </si>
  <si>
    <t>Good</t>
  </si>
  <si>
    <t>XYZ Demo - 1</t>
  </si>
  <si>
    <t>vishalvk82@gmail.com</t>
  </si>
  <si>
    <t>HR-EMP-212</t>
  </si>
  <si>
    <t>HR-EMP-352</t>
  </si>
  <si>
    <t>HR-EMP-252</t>
  </si>
  <si>
    <t>HR-EMP-239</t>
  </si>
  <si>
    <t>HR-EMP-2412</t>
  </si>
  <si>
    <t>HR-EMP-0497</t>
  </si>
  <si>
    <t>HR-EMP-5482</t>
  </si>
  <si>
    <t>HR-EMP-4857</t>
  </si>
  <si>
    <t>HR-EMP-5977</t>
  </si>
  <si>
    <t>HR-EMP-9587</t>
  </si>
  <si>
    <t>HR-EMP-1324</t>
  </si>
  <si>
    <t>HR-EMP-512</t>
  </si>
  <si>
    <t>HR-EMP-562</t>
  </si>
  <si>
    <t>DEF</t>
  </si>
  <si>
    <t>Hello123</t>
  </si>
  <si>
    <t>Testing Employee</t>
  </si>
  <si>
    <t>Employee 123</t>
  </si>
  <si>
    <t>Test123</t>
  </si>
  <si>
    <t>Fake Employee</t>
  </si>
  <si>
    <t>Gujarat</t>
  </si>
  <si>
    <t>Odisha</t>
  </si>
  <si>
    <t>Andhra Pradesh</t>
  </si>
  <si>
    <t>Maharashtra</t>
  </si>
  <si>
    <t>Aurangabad</t>
  </si>
  <si>
    <t>Parbhani</t>
  </si>
  <si>
    <t>Test Xyz Abc</t>
  </si>
  <si>
    <t>Sales</t>
  </si>
  <si>
    <t>Production</t>
  </si>
  <si>
    <t>Developer</t>
  </si>
  <si>
    <t>Officer</t>
  </si>
  <si>
    <t>HeadOfficer</t>
  </si>
  <si>
    <t>Manager</t>
  </si>
  <si>
    <t>Senior Officer</t>
  </si>
  <si>
    <t>SR</t>
  </si>
  <si>
    <t>hr@vikramtea.com</t>
  </si>
  <si>
    <t>HR-EMP-128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</si>
</sst>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b/>
      <sz val="1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left"/>
    </xf>
    <xf numFmtId="0" fontId="4" fillId="0" borderId="1" xfId="2" applyFont="1" applyBorder="1" applyAlignment="1">
      <alignment horizontal="left" vertical="center"/>
    </xf>
    <xf numFmtId="2" fontId="0" fillId="0" borderId="0" xfId="1" applyNumberFormat="1" applyFont="1" applyAlignment="1"/>
    <xf numFmtId="1" fontId="4" fillId="2" borderId="1" xfId="2" applyNumberFormat="1" applyFont="1" applyFill="1" applyBorder="1" applyAlignment="1">
      <alignment horizontal="center"/>
    </xf>
    <xf numFmtId="0" fontId="4" fillId="0" borderId="1" xfId="2" applyFont="1" applyBorder="1"/>
    <xf numFmtId="2" fontId="0" fillId="0" borderId="0" xfId="1" applyNumberFormat="1" applyFont="1" applyFill="1" applyBorder="1" applyAlignment="1"/>
    <xf numFmtId="0" fontId="5" fillId="3" borderId="1" xfId="2" applyFont="1" applyFill="1" applyBorder="1" applyAlignment="1">
      <alignment horizontal="lef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" fontId="0" fillId="0" borderId="0" xfId="0" applyNumberFormat="1"/>
    <xf numFmtId="1" fontId="4" fillId="2" borderId="1" xfId="2" applyNumberFormat="1" applyFont="1" applyFill="1" applyBorder="1"/>
    <xf numFmtId="1" fontId="4" fillId="5" borderId="1" xfId="2" applyNumberFormat="1" applyFont="1" applyFill="1" applyBorder="1" applyAlignment="1">
      <alignment horizontal="right" vertical="center"/>
    </xf>
    <xf numFmtId="1" fontId="4" fillId="6" borderId="1" xfId="2" applyNumberFormat="1" applyFont="1" applyFill="1" applyBorder="1"/>
    <xf numFmtId="1" fontId="4" fillId="4" borderId="1" xfId="2" applyNumberFormat="1" applyFont="1" applyFill="1" applyBorder="1" applyAlignment="1">
      <alignment horizontal="right" vertical="center"/>
    </xf>
    <xf numFmtId="1" fontId="4" fillId="5" borderId="1" xfId="2" applyNumberFormat="1" applyFont="1" applyFill="1" applyBorder="1" applyAlignment="1">
      <alignment horizontal="center" vertical="center"/>
    </xf>
    <xf numFmtId="1" fontId="6" fillId="7" borderId="1" xfId="2" applyNumberFormat="1" applyFont="1" applyFill="1" applyBorder="1" applyAlignment="1">
      <alignment horizontal="center"/>
    </xf>
    <xf numFmtId="0" fontId="4" fillId="2" borderId="1" xfId="2" applyFont="1" applyFill="1" applyBorder="1"/>
    <xf numFmtId="2" fontId="4" fillId="3" borderId="1" xfId="2" applyNumberFormat="1" applyFont="1" applyFill="1" applyBorder="1" applyAlignment="1">
      <alignment horizontal="right"/>
    </xf>
    <xf numFmtId="2" fontId="0" fillId="0" borderId="0" xfId="0" applyNumberFormat="1"/>
    <xf numFmtId="0" fontId="4" fillId="2" borderId="1" xfId="2" applyFont="1" applyFill="1" applyBorder="1" applyAlignment="1">
      <alignment horizontal="center"/>
    </xf>
    <xf numFmtId="10" fontId="0" fillId="0" borderId="0" xfId="1" applyNumberFormat="1" applyFont="1" applyAlignment="1"/>
    <xf numFmtId="0" fontId="7" fillId="0" borderId="0" xfId="3"/>
    <xf numFmtId="10" fontId="0" fillId="0" borderId="0" xfId="1" applyNumberFormat="1" applyFont="1" applyFill="1" applyBorder="1" applyAlignment="1"/>
    <xf numFmtId="0" fontId="3" fillId="0" borderId="1" xfId="0" applyFont="1" applyBorder="1"/>
    <xf numFmtId="10" fontId="0" fillId="0" borderId="0" xfId="1" applyNumberFormat="1" applyFont="1"/>
    <xf numFmtId="2" fontId="0" fillId="0" borderId="0" xfId="1" applyNumberFormat="1" applyFont="1"/>
    <xf numFmtId="0" fontId="3" fillId="0" borderId="2" xfId="0" applyFont="1" applyBorder="1"/>
  </cellXfs>
  <cellStyles count="4">
    <cellStyle name="Hyperlink" xfId="3" builtinId="8"/>
    <cellStyle name="Normal" xfId="0" builtinId="0"/>
    <cellStyle name="Normal 4 2 2" xfId="2" xr:uid="{46B54E21-B308-49F1-BF2E-5C34BDDE65DE}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avnajoshi2277@gmail.com" TargetMode="External"/><Relationship Id="rId13" Type="http://schemas.openxmlformats.org/officeDocument/2006/relationships/hyperlink" Target="mailto:vishal.kulkarni@vikramtea.com" TargetMode="External"/><Relationship Id="rId18" Type="http://schemas.openxmlformats.org/officeDocument/2006/relationships/hyperlink" Target="mailto:hr@vikramtea.com" TargetMode="External"/><Relationship Id="rId26" Type="http://schemas.openxmlformats.org/officeDocument/2006/relationships/hyperlink" Target="mailto:vishalvk82@gmail.com" TargetMode="External"/><Relationship Id="rId3" Type="http://schemas.openxmlformats.org/officeDocument/2006/relationships/hyperlink" Target="mailto:vishal.kulkarni@vikramtea.com" TargetMode="External"/><Relationship Id="rId21" Type="http://schemas.openxmlformats.org/officeDocument/2006/relationships/hyperlink" Target="mailto:hr@vikramtea.com" TargetMode="External"/><Relationship Id="rId7" Type="http://schemas.openxmlformats.org/officeDocument/2006/relationships/hyperlink" Target="mailto:itsupport@vikramtea.com" TargetMode="External"/><Relationship Id="rId12" Type="http://schemas.openxmlformats.org/officeDocument/2006/relationships/hyperlink" Target="mailto:vishal.kulkarni@vikramtea.com" TargetMode="External"/><Relationship Id="rId17" Type="http://schemas.openxmlformats.org/officeDocument/2006/relationships/hyperlink" Target="mailto:hr@vikramtea.com" TargetMode="External"/><Relationship Id="rId25" Type="http://schemas.openxmlformats.org/officeDocument/2006/relationships/hyperlink" Target="mailto:hr@vikramtea.com" TargetMode="External"/><Relationship Id="rId2" Type="http://schemas.openxmlformats.org/officeDocument/2006/relationships/hyperlink" Target="mailto:bhavnajoshi2277@gmail.com" TargetMode="External"/><Relationship Id="rId16" Type="http://schemas.openxmlformats.org/officeDocument/2006/relationships/hyperlink" Target="mailto:hr@vikramtea.com" TargetMode="External"/><Relationship Id="rId20" Type="http://schemas.openxmlformats.org/officeDocument/2006/relationships/hyperlink" Target="mailto:hr@vikramtea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itsupport@vikramtea.com" TargetMode="External"/><Relationship Id="rId6" Type="http://schemas.openxmlformats.org/officeDocument/2006/relationships/hyperlink" Target="mailto:itsupport@vikramtea.com" TargetMode="External"/><Relationship Id="rId11" Type="http://schemas.openxmlformats.org/officeDocument/2006/relationships/hyperlink" Target="mailto:vishal.kulkarni@vikramtea.com" TargetMode="External"/><Relationship Id="rId24" Type="http://schemas.openxmlformats.org/officeDocument/2006/relationships/hyperlink" Target="mailto:hr@vikramtea.com" TargetMode="External"/><Relationship Id="rId5" Type="http://schemas.openxmlformats.org/officeDocument/2006/relationships/hyperlink" Target="mailto:itsupport@vikramtea.com" TargetMode="External"/><Relationship Id="rId15" Type="http://schemas.openxmlformats.org/officeDocument/2006/relationships/hyperlink" Target="mailto:vishal.kulkarni@vikramtea.com" TargetMode="External"/><Relationship Id="rId23" Type="http://schemas.openxmlformats.org/officeDocument/2006/relationships/hyperlink" Target="mailto:hr@vikramtea.com" TargetMode="External"/><Relationship Id="rId28" Type="http://schemas.openxmlformats.org/officeDocument/2006/relationships/hyperlink" Target="mailto:vishalvk82@gmail.com" TargetMode="External"/><Relationship Id="rId10" Type="http://schemas.openxmlformats.org/officeDocument/2006/relationships/hyperlink" Target="mailto:vishal.kulkarni@vikramtea.com" TargetMode="External"/><Relationship Id="rId19" Type="http://schemas.openxmlformats.org/officeDocument/2006/relationships/hyperlink" Target="mailto:hr@vikramtea.com" TargetMode="External"/><Relationship Id="rId4" Type="http://schemas.openxmlformats.org/officeDocument/2006/relationships/hyperlink" Target="mailto:itsupport@vikramtea.com" TargetMode="External"/><Relationship Id="rId9" Type="http://schemas.openxmlformats.org/officeDocument/2006/relationships/hyperlink" Target="mailto:bhavnajoshi2277@gmail.com" TargetMode="External"/><Relationship Id="rId14" Type="http://schemas.openxmlformats.org/officeDocument/2006/relationships/hyperlink" Target="mailto:vishalvk82@gmail.com" TargetMode="External"/><Relationship Id="rId22" Type="http://schemas.openxmlformats.org/officeDocument/2006/relationships/hyperlink" Target="mailto:hr@vikramtea.com" TargetMode="External"/><Relationship Id="rId27" Type="http://schemas.openxmlformats.org/officeDocument/2006/relationships/hyperlink" Target="mailto:vishalvk8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5E37-DBB5-4445-9D59-B3A98AD8CB27}">
  <dimension ref="A1:CE27"/>
  <sheetViews>
    <sheetView tabSelected="1" topLeftCell="A13" workbookViewId="0">
      <selection activeCell="K27" sqref="K27"/>
    </sheetView>
  </sheetViews>
  <sheetFormatPr defaultRowHeight="19.2" customHeight="1" x14ac:dyDescent="0.3"/>
  <cols>
    <col min="1" max="1" width="6.5546875" bestFit="1" customWidth="1"/>
    <col min="2" max="2" width="13.44140625" bestFit="1" customWidth="1"/>
    <col min="3" max="3" width="19.109375" customWidth="1"/>
    <col min="4" max="4" width="10.77734375" bestFit="1" customWidth="1"/>
    <col min="5" max="5" width="10.5546875" bestFit="1" customWidth="1"/>
    <col min="6" max="6" width="14.88671875" bestFit="1" customWidth="1"/>
    <col min="7" max="7" width="4.88671875" bestFit="1" customWidth="1"/>
    <col min="8" max="8" width="14.88671875" bestFit="1" customWidth="1"/>
    <col min="9" max="9" width="18.109375" bestFit="1" customWidth="1"/>
    <col min="10" max="10" width="9.88671875" bestFit="1" customWidth="1"/>
    <col min="11" max="11" width="16.33203125" bestFit="1" customWidth="1"/>
    <col min="12" max="12" width="10.6640625" bestFit="1" customWidth="1"/>
    <col min="13" max="13" width="15.109375" bestFit="1" customWidth="1"/>
    <col min="14" max="14" width="20.5546875" bestFit="1" customWidth="1"/>
    <col min="15" max="15" width="18" bestFit="1" customWidth="1"/>
    <col min="16" max="16" width="19.109375" bestFit="1" customWidth="1"/>
    <col min="17" max="17" width="14.109375" bestFit="1" customWidth="1"/>
    <col min="18" max="18" width="31.88671875" bestFit="1" customWidth="1"/>
    <col min="19" max="19" width="8.5546875" bestFit="1" customWidth="1"/>
    <col min="20" max="20" width="8.109375" bestFit="1" customWidth="1"/>
    <col min="21" max="21" width="11.88671875" bestFit="1" customWidth="1"/>
    <col min="22" max="22" width="7.5546875" bestFit="1" customWidth="1"/>
    <col min="23" max="23" width="7.33203125" bestFit="1" customWidth="1"/>
    <col min="24" max="24" width="11.109375" bestFit="1" customWidth="1"/>
    <col min="25" max="26" width="7.5546875" bestFit="1" customWidth="1"/>
    <col min="27" max="27" width="9.77734375" bestFit="1" customWidth="1"/>
    <col min="28" max="28" width="4.5546875" bestFit="1" customWidth="1"/>
    <col min="29" max="29" width="6" bestFit="1" customWidth="1"/>
    <col min="30" max="30" width="9.77734375" bestFit="1" customWidth="1"/>
    <col min="31" max="31" width="5.44140625" bestFit="1" customWidth="1"/>
    <col min="32" max="32" width="5.77734375" bestFit="1" customWidth="1"/>
    <col min="33" max="33" width="9.5546875" bestFit="1" customWidth="1"/>
    <col min="34" max="34" width="9.109375" bestFit="1" customWidth="1"/>
    <col min="35" max="35" width="10.44140625" bestFit="1" customWidth="1"/>
    <col min="36" max="36" width="14.33203125" bestFit="1" customWidth="1"/>
    <col min="37" max="37" width="7.33203125" bestFit="1" customWidth="1"/>
    <col min="39" max="39" width="12.6640625" bestFit="1" customWidth="1"/>
    <col min="40" max="40" width="4.88671875" bestFit="1" customWidth="1"/>
    <col min="41" max="41" width="7.33203125" bestFit="1" customWidth="1"/>
    <col min="42" max="42" width="11.109375" bestFit="1" customWidth="1"/>
    <col min="43" max="43" width="4.5546875" bestFit="1" customWidth="1"/>
    <col min="44" max="44" width="7.44140625" bestFit="1" customWidth="1"/>
    <col min="45" max="45" width="11.21875" bestFit="1" customWidth="1"/>
    <col min="46" max="46" width="7.88671875" bestFit="1" customWidth="1"/>
    <col min="47" max="47" width="11.6640625" bestFit="1" customWidth="1"/>
    <col min="48" max="48" width="16.21875" bestFit="1" customWidth="1"/>
    <col min="49" max="49" width="10.77734375" bestFit="1" customWidth="1"/>
    <col min="50" max="50" width="25.5546875" bestFit="1" customWidth="1"/>
    <col min="51" max="51" width="11.88671875" bestFit="1" customWidth="1"/>
    <col min="52" max="53" width="15.77734375" bestFit="1" customWidth="1"/>
    <col min="54" max="54" width="15.6640625" bestFit="1" customWidth="1"/>
    <col min="55" max="55" width="19.5546875" bestFit="1" customWidth="1"/>
    <col min="56" max="56" width="25.21875" bestFit="1" customWidth="1"/>
    <col min="57" max="57" width="26.88671875" bestFit="1" customWidth="1"/>
    <col min="58" max="58" width="6.21875" bestFit="1" customWidth="1"/>
    <col min="59" max="59" width="10.21875" bestFit="1" customWidth="1"/>
    <col min="60" max="60" width="15.5546875" bestFit="1" customWidth="1"/>
    <col min="61" max="61" width="5.5546875" bestFit="1" customWidth="1"/>
    <col min="62" max="62" width="8" bestFit="1" customWidth="1"/>
    <col min="63" max="63" width="9" bestFit="1" customWidth="1"/>
    <col min="64" max="64" width="7.5546875" bestFit="1" customWidth="1"/>
    <col min="65" max="65" width="10.44140625" bestFit="1" customWidth="1"/>
    <col min="66" max="66" width="14.33203125" bestFit="1" customWidth="1"/>
    <col min="67" max="67" width="7.109375" bestFit="1" customWidth="1"/>
    <col min="68" max="68" width="9.109375" bestFit="1" customWidth="1"/>
    <col min="69" max="69" width="10.5546875" bestFit="1" customWidth="1"/>
    <col min="70" max="70" width="8" bestFit="1" customWidth="1"/>
    <col min="71" max="71" width="11.77734375" bestFit="1" customWidth="1"/>
    <col min="72" max="72" width="16.33203125" bestFit="1" customWidth="1"/>
    <col min="73" max="73" width="8" bestFit="1" customWidth="1"/>
    <col min="74" max="74" width="11.77734375" bestFit="1" customWidth="1"/>
    <col min="75" max="75" width="16.33203125" bestFit="1" customWidth="1"/>
    <col min="76" max="76" width="20.44140625" bestFit="1" customWidth="1"/>
    <col min="77" max="77" width="23.33203125" bestFit="1" customWidth="1"/>
    <col min="78" max="78" width="24.77734375" bestFit="1" customWidth="1"/>
    <col min="79" max="79" width="13.88671875" bestFit="1" customWidth="1"/>
    <col min="80" max="80" width="17.77734375" bestFit="1" customWidth="1"/>
    <col min="81" max="81" width="20.5546875" bestFit="1" customWidth="1"/>
    <col min="82" max="82" width="22.109375" bestFit="1" customWidth="1"/>
  </cols>
  <sheetData>
    <row r="1" spans="1:83" ht="19.2" customHeight="1" x14ac:dyDescent="0.3">
      <c r="A1" t="s">
        <v>0</v>
      </c>
      <c r="B1" t="s">
        <v>90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s="1" t="s">
        <v>32</v>
      </c>
      <c r="AI1" t="s">
        <v>33</v>
      </c>
      <c r="AJ1" t="s">
        <v>34</v>
      </c>
      <c r="AK1" s="1" t="s">
        <v>35</v>
      </c>
      <c r="AL1" t="s">
        <v>36</v>
      </c>
      <c r="AM1" t="s">
        <v>37</v>
      </c>
      <c r="AN1" s="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t="s">
        <v>49</v>
      </c>
      <c r="AZ1" t="s">
        <v>50</v>
      </c>
      <c r="BA1" s="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/>
    </row>
    <row r="2" spans="1:83" ht="14.4" x14ac:dyDescent="0.3">
      <c r="A2" s="3">
        <v>4501</v>
      </c>
      <c r="B2" t="s">
        <v>91</v>
      </c>
      <c r="C2" s="4" t="s">
        <v>81</v>
      </c>
      <c r="D2" s="5" t="s">
        <v>82</v>
      </c>
      <c r="E2" s="6" t="s">
        <v>83</v>
      </c>
      <c r="G2">
        <v>365</v>
      </c>
      <c r="H2">
        <v>0</v>
      </c>
      <c r="J2" t="s">
        <v>106</v>
      </c>
      <c r="K2" t="s">
        <v>141</v>
      </c>
      <c r="L2" t="s">
        <v>116</v>
      </c>
      <c r="M2" s="7"/>
      <c r="N2" s="8">
        <v>36499.68</v>
      </c>
      <c r="O2" s="7">
        <v>0</v>
      </c>
      <c r="P2" s="7">
        <v>0</v>
      </c>
      <c r="Q2" s="9" t="s">
        <v>84</v>
      </c>
      <c r="R2" s="10"/>
      <c r="S2" s="11">
        <v>11200</v>
      </c>
      <c r="T2">
        <v>1200</v>
      </c>
      <c r="U2" s="12">
        <v>12400</v>
      </c>
      <c r="V2" s="11">
        <v>4400</v>
      </c>
      <c r="W2">
        <v>1100</v>
      </c>
      <c r="X2" s="13">
        <v>5500</v>
      </c>
      <c r="Y2" s="11">
        <v>11128</v>
      </c>
      <c r="Z2" s="14">
        <v>542</v>
      </c>
      <c r="AA2" s="15">
        <v>11670.239999999998</v>
      </c>
      <c r="AB2">
        <v>0</v>
      </c>
      <c r="AC2">
        <v>0</v>
      </c>
      <c r="AD2">
        <v>0</v>
      </c>
      <c r="AE2" s="16">
        <v>1800</v>
      </c>
      <c r="AF2" s="14">
        <v>0</v>
      </c>
      <c r="AG2" s="17">
        <v>1800</v>
      </c>
      <c r="AH2" s="16">
        <v>538.71999999999991</v>
      </c>
      <c r="AI2" s="14">
        <v>57.720000000000027</v>
      </c>
      <c r="AJ2" s="18">
        <v>596.43999999999994</v>
      </c>
      <c r="AK2" s="16">
        <v>932.96</v>
      </c>
      <c r="AL2" s="14">
        <v>99.960000000000036</v>
      </c>
      <c r="AM2" s="18">
        <v>1032.92</v>
      </c>
      <c r="AN2" s="19">
        <v>0</v>
      </c>
      <c r="AO2" s="14">
        <v>0</v>
      </c>
      <c r="AP2" s="18">
        <v>0</v>
      </c>
      <c r="AQ2" s="16">
        <v>0</v>
      </c>
      <c r="AR2" s="14">
        <v>0</v>
      </c>
      <c r="AS2" s="18">
        <v>0</v>
      </c>
      <c r="AT2" s="19">
        <v>3271.68</v>
      </c>
      <c r="AU2" s="14">
        <v>157.68000000000029</v>
      </c>
      <c r="AV2" s="18">
        <v>3429.36</v>
      </c>
      <c r="AW2">
        <v>0</v>
      </c>
      <c r="AX2" s="20">
        <v>3000</v>
      </c>
      <c r="AY2">
        <v>0</v>
      </c>
      <c r="AZ2">
        <v>0</v>
      </c>
      <c r="BA2">
        <v>0</v>
      </c>
      <c r="BB2">
        <v>0</v>
      </c>
      <c r="BC2">
        <v>0</v>
      </c>
      <c r="BD2" s="26" t="s">
        <v>89</v>
      </c>
      <c r="BF2" s="11">
        <v>1000</v>
      </c>
      <c r="BG2">
        <v>0</v>
      </c>
      <c r="BH2" s="21">
        <v>1000</v>
      </c>
      <c r="BI2" s="11">
        <v>2500</v>
      </c>
      <c r="BJ2">
        <v>0</v>
      </c>
      <c r="BK2" s="21">
        <v>2500</v>
      </c>
      <c r="BL2" s="22">
        <v>0</v>
      </c>
      <c r="BM2" s="23">
        <v>0</v>
      </c>
      <c r="BN2" s="21">
        <v>0</v>
      </c>
      <c r="BO2" s="19">
        <v>0</v>
      </c>
      <c r="BP2">
        <v>0</v>
      </c>
      <c r="BQ2" s="24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s="7">
        <v>0</v>
      </c>
      <c r="BZ2">
        <v>0</v>
      </c>
      <c r="CA2" s="23">
        <v>0</v>
      </c>
      <c r="CB2" s="14">
        <v>4000</v>
      </c>
      <c r="CC2" s="14">
        <v>500</v>
      </c>
      <c r="CD2" s="14">
        <v>4500</v>
      </c>
    </row>
    <row r="3" spans="1:83" ht="14.4" x14ac:dyDescent="0.3">
      <c r="A3" s="3">
        <v>4852</v>
      </c>
      <c r="B3" t="s">
        <v>92</v>
      </c>
      <c r="C3" s="4" t="s">
        <v>85</v>
      </c>
      <c r="D3" s="5" t="s">
        <v>86</v>
      </c>
      <c r="E3" s="6" t="s">
        <v>87</v>
      </c>
      <c r="F3" t="s">
        <v>134</v>
      </c>
      <c r="G3">
        <v>365</v>
      </c>
      <c r="H3">
        <v>0</v>
      </c>
      <c r="J3" t="s">
        <v>106</v>
      </c>
      <c r="K3" t="s">
        <v>115</v>
      </c>
      <c r="L3" t="s">
        <v>116</v>
      </c>
      <c r="M3" s="25"/>
      <c r="N3" s="8">
        <v>29487.1175</v>
      </c>
      <c r="O3" s="7">
        <v>0</v>
      </c>
      <c r="P3" s="7">
        <v>0</v>
      </c>
      <c r="Q3" s="9" t="s">
        <v>88</v>
      </c>
      <c r="S3" s="11">
        <v>7600</v>
      </c>
      <c r="T3">
        <v>1600</v>
      </c>
      <c r="U3" s="12">
        <v>9200</v>
      </c>
      <c r="V3" s="11">
        <v>3000</v>
      </c>
      <c r="W3">
        <v>1500</v>
      </c>
      <c r="X3" s="13">
        <v>4500</v>
      </c>
      <c r="Y3" s="11">
        <v>8307</v>
      </c>
      <c r="Z3" s="14">
        <v>1372</v>
      </c>
      <c r="AA3" s="15">
        <v>9678.5974999999999</v>
      </c>
      <c r="AB3">
        <v>0</v>
      </c>
      <c r="AC3">
        <v>0</v>
      </c>
      <c r="AD3">
        <v>0</v>
      </c>
      <c r="AE3" s="16">
        <v>1800</v>
      </c>
      <c r="AF3" s="14">
        <v>0</v>
      </c>
      <c r="AG3" s="17">
        <v>1800</v>
      </c>
      <c r="AH3" s="16">
        <v>365.56</v>
      </c>
      <c r="AI3" s="14">
        <v>76.95999999999998</v>
      </c>
      <c r="AJ3" s="18">
        <v>442.52</v>
      </c>
      <c r="AK3" s="16">
        <v>633.08000000000004</v>
      </c>
      <c r="AL3" s="14">
        <v>133.27999999999997</v>
      </c>
      <c r="AM3" s="18">
        <v>766.36</v>
      </c>
      <c r="AN3" s="19">
        <v>0</v>
      </c>
      <c r="AO3" s="14">
        <v>0</v>
      </c>
      <c r="AP3" s="18">
        <v>0</v>
      </c>
      <c r="AQ3" s="16">
        <v>141.80249999999998</v>
      </c>
      <c r="AR3">
        <v>0</v>
      </c>
      <c r="AS3" s="14">
        <v>141.80250000000001</v>
      </c>
      <c r="AT3" s="19">
        <v>9263.1175000000003</v>
      </c>
      <c r="AU3" s="14">
        <v>404.23749999999899</v>
      </c>
      <c r="AV3" s="18">
        <v>8858.880000000001</v>
      </c>
      <c r="AW3">
        <v>0</v>
      </c>
      <c r="AX3" s="20">
        <v>4067</v>
      </c>
      <c r="AY3">
        <v>0</v>
      </c>
      <c r="AZ3">
        <v>0</v>
      </c>
      <c r="BA3">
        <v>0</v>
      </c>
      <c r="BB3">
        <v>0</v>
      </c>
      <c r="BC3">
        <v>0</v>
      </c>
      <c r="BD3" s="26" t="s">
        <v>133</v>
      </c>
      <c r="BF3" s="11">
        <v>700</v>
      </c>
      <c r="BG3">
        <v>0</v>
      </c>
      <c r="BH3" s="21">
        <v>700</v>
      </c>
      <c r="BI3" s="11">
        <v>2400</v>
      </c>
      <c r="BJ3">
        <v>0</v>
      </c>
      <c r="BK3" s="21">
        <v>2400</v>
      </c>
      <c r="BL3" s="22">
        <v>0</v>
      </c>
      <c r="BM3" s="23">
        <v>0</v>
      </c>
      <c r="BN3" s="21">
        <v>0</v>
      </c>
      <c r="BO3" s="19">
        <v>4500</v>
      </c>
      <c r="BP3">
        <v>0</v>
      </c>
      <c r="BQ3" s="24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 s="7">
        <v>0</v>
      </c>
      <c r="BZ3">
        <v>0</v>
      </c>
      <c r="CA3" s="23">
        <v>0</v>
      </c>
      <c r="CB3" s="14">
        <v>4000</v>
      </c>
      <c r="CC3" s="14">
        <v>500</v>
      </c>
      <c r="CD3" s="14">
        <v>4500</v>
      </c>
    </row>
    <row r="4" spans="1:83" ht="19.2" customHeight="1" x14ac:dyDescent="0.3">
      <c r="A4" s="3">
        <v>4733</v>
      </c>
      <c r="B4" t="s">
        <v>93</v>
      </c>
      <c r="C4" s="4" t="s">
        <v>94</v>
      </c>
      <c r="D4" s="5" t="s">
        <v>95</v>
      </c>
      <c r="E4" s="6" t="s">
        <v>96</v>
      </c>
      <c r="G4">
        <v>365</v>
      </c>
      <c r="H4">
        <v>0</v>
      </c>
      <c r="J4" t="s">
        <v>107</v>
      </c>
      <c r="K4" t="s">
        <v>141</v>
      </c>
      <c r="L4" t="s">
        <v>142</v>
      </c>
      <c r="M4" s="25"/>
      <c r="N4" s="8">
        <v>28107.622500000001</v>
      </c>
      <c r="O4" s="7">
        <v>0</v>
      </c>
      <c r="P4" s="7">
        <v>0</v>
      </c>
      <c r="Q4" s="9" t="s">
        <v>84</v>
      </c>
      <c r="S4" s="11">
        <v>7500</v>
      </c>
      <c r="T4">
        <v>800</v>
      </c>
      <c r="U4" s="12">
        <v>8300</v>
      </c>
      <c r="V4" s="11">
        <v>3000</v>
      </c>
      <c r="W4">
        <v>800</v>
      </c>
      <c r="X4" s="13">
        <v>3800</v>
      </c>
      <c r="Y4" s="11">
        <v>9473</v>
      </c>
      <c r="Z4" s="14">
        <v>1044</v>
      </c>
      <c r="AA4" s="15">
        <v>10517.392500000002</v>
      </c>
      <c r="AB4">
        <v>0</v>
      </c>
      <c r="AC4">
        <v>0</v>
      </c>
      <c r="AD4">
        <v>0</v>
      </c>
      <c r="AE4" s="16">
        <v>1800</v>
      </c>
      <c r="AF4" s="14">
        <v>0</v>
      </c>
      <c r="AG4" s="17">
        <v>1800</v>
      </c>
      <c r="AH4" s="16">
        <v>360.75</v>
      </c>
      <c r="AI4" s="14">
        <v>38.479999999999961</v>
      </c>
      <c r="AJ4" s="18">
        <v>399.22999999999996</v>
      </c>
      <c r="AK4" s="16">
        <v>624.75</v>
      </c>
      <c r="AL4" s="14">
        <v>66.639999999999986</v>
      </c>
      <c r="AM4" s="18">
        <v>691.39</v>
      </c>
      <c r="AN4" s="19">
        <v>0</v>
      </c>
      <c r="AO4" s="14">
        <v>0</v>
      </c>
      <c r="AP4" s="18">
        <v>0</v>
      </c>
      <c r="AQ4" s="16">
        <v>149.79749999999999</v>
      </c>
      <c r="AR4">
        <v>0</v>
      </c>
      <c r="AS4" s="14">
        <v>149.79750000000001</v>
      </c>
      <c r="AT4" s="19">
        <v>3434.6224999999999</v>
      </c>
      <c r="AU4" s="14">
        <v>544.00250000000005</v>
      </c>
      <c r="AV4" s="18">
        <v>2890.62</v>
      </c>
      <c r="AW4">
        <v>0</v>
      </c>
      <c r="AX4" s="20">
        <v>2100</v>
      </c>
      <c r="AY4">
        <v>0</v>
      </c>
      <c r="AZ4">
        <v>0</v>
      </c>
      <c r="BA4">
        <v>0</v>
      </c>
      <c r="BB4">
        <v>0</v>
      </c>
      <c r="BC4">
        <v>0</v>
      </c>
      <c r="BD4" s="26" t="s">
        <v>89</v>
      </c>
      <c r="BF4" s="11">
        <v>1000</v>
      </c>
      <c r="BG4">
        <v>0</v>
      </c>
      <c r="BH4" s="21">
        <v>1000</v>
      </c>
      <c r="BI4" s="11">
        <v>1600</v>
      </c>
      <c r="BJ4">
        <v>0</v>
      </c>
      <c r="BK4" s="21">
        <v>1600</v>
      </c>
      <c r="BL4" s="22">
        <v>0</v>
      </c>
      <c r="BM4" s="23">
        <v>0</v>
      </c>
      <c r="BN4" s="21">
        <v>0</v>
      </c>
      <c r="BO4" s="19">
        <v>0</v>
      </c>
      <c r="BP4">
        <v>0</v>
      </c>
      <c r="BQ4" s="2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s="7">
        <v>0</v>
      </c>
      <c r="BZ4">
        <v>0</v>
      </c>
      <c r="CA4" s="23">
        <v>0</v>
      </c>
      <c r="CB4" s="14">
        <v>4000</v>
      </c>
      <c r="CC4" s="14">
        <v>500</v>
      </c>
      <c r="CD4" s="14">
        <v>4500</v>
      </c>
    </row>
    <row r="5" spans="1:83" ht="19.2" customHeight="1" x14ac:dyDescent="0.3">
      <c r="A5" s="3">
        <v>11584</v>
      </c>
      <c r="B5" t="s">
        <v>97</v>
      </c>
      <c r="C5" s="4" t="s">
        <v>98</v>
      </c>
      <c r="D5" s="5" t="s">
        <v>99</v>
      </c>
      <c r="E5" s="6" t="s">
        <v>100</v>
      </c>
      <c r="G5">
        <v>365</v>
      </c>
      <c r="H5">
        <v>0</v>
      </c>
      <c r="J5" t="s">
        <v>107</v>
      </c>
      <c r="K5" t="s">
        <v>115</v>
      </c>
      <c r="L5" t="s">
        <v>116</v>
      </c>
      <c r="M5" s="25"/>
      <c r="N5" s="8">
        <v>47700.212</v>
      </c>
      <c r="O5" s="7">
        <v>0</v>
      </c>
      <c r="P5" s="7">
        <v>0</v>
      </c>
      <c r="Q5" s="9" t="s">
        <v>101</v>
      </c>
      <c r="S5" s="11">
        <v>18000</v>
      </c>
      <c r="T5">
        <v>1100</v>
      </c>
      <c r="U5" s="12">
        <v>19100</v>
      </c>
      <c r="V5" s="11">
        <v>15000</v>
      </c>
      <c r="W5">
        <v>1000</v>
      </c>
      <c r="X5" s="13">
        <v>16000</v>
      </c>
      <c r="Y5" s="11">
        <v>5235</v>
      </c>
      <c r="Z5" s="14">
        <v>456</v>
      </c>
      <c r="AA5" s="15">
        <v>5690.5019999999977</v>
      </c>
      <c r="AB5">
        <v>0</v>
      </c>
      <c r="AC5">
        <v>0</v>
      </c>
      <c r="AD5">
        <v>0</v>
      </c>
      <c r="AE5" s="16">
        <v>1800</v>
      </c>
      <c r="AF5" s="14">
        <v>0</v>
      </c>
      <c r="AG5" s="17">
        <v>1800</v>
      </c>
      <c r="AH5" s="16">
        <v>865.8</v>
      </c>
      <c r="AI5" s="14">
        <v>52.909999999999968</v>
      </c>
      <c r="AJ5" s="18">
        <v>918.70999999999992</v>
      </c>
      <c r="AK5" s="16">
        <v>1499.4</v>
      </c>
      <c r="AL5" s="14">
        <v>91.629999999999882</v>
      </c>
      <c r="AM5" s="18">
        <v>1591.03</v>
      </c>
      <c r="AN5" s="19">
        <v>0</v>
      </c>
      <c r="AO5" s="14">
        <v>0</v>
      </c>
      <c r="AP5" s="18">
        <v>0</v>
      </c>
      <c r="AQ5" s="16">
        <v>0</v>
      </c>
      <c r="AR5" s="14">
        <v>0</v>
      </c>
      <c r="AS5" s="18">
        <v>0</v>
      </c>
      <c r="AT5" s="19">
        <v>4165.2000000000007</v>
      </c>
      <c r="AU5" s="14">
        <v>144.53999999999905</v>
      </c>
      <c r="AV5" s="18">
        <v>4309.74</v>
      </c>
      <c r="AW5">
        <v>0</v>
      </c>
      <c r="AX5" s="20">
        <v>2700.0119999999997</v>
      </c>
      <c r="AY5">
        <v>0</v>
      </c>
      <c r="AZ5">
        <v>0</v>
      </c>
      <c r="BA5">
        <v>0</v>
      </c>
      <c r="BB5">
        <v>0</v>
      </c>
      <c r="BC5">
        <v>0</v>
      </c>
      <c r="BD5" s="26" t="s">
        <v>118</v>
      </c>
      <c r="BF5" s="11">
        <v>1000</v>
      </c>
      <c r="BG5">
        <v>0</v>
      </c>
      <c r="BH5" s="21">
        <v>1000</v>
      </c>
      <c r="BI5" s="11">
        <v>1600</v>
      </c>
      <c r="BJ5">
        <v>0</v>
      </c>
      <c r="BK5" s="21">
        <v>1600</v>
      </c>
      <c r="BL5" s="22">
        <v>0</v>
      </c>
      <c r="BM5" s="23">
        <v>0</v>
      </c>
      <c r="BN5" s="21">
        <v>0</v>
      </c>
      <c r="BO5" s="19">
        <v>0</v>
      </c>
      <c r="BP5">
        <v>0</v>
      </c>
      <c r="BQ5" s="24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 s="7">
        <v>0</v>
      </c>
      <c r="BZ5">
        <v>0</v>
      </c>
      <c r="CA5" s="23">
        <v>0</v>
      </c>
      <c r="CB5" s="14">
        <v>4000</v>
      </c>
      <c r="CC5" s="14">
        <v>500</v>
      </c>
      <c r="CD5" s="14">
        <v>4500</v>
      </c>
    </row>
    <row r="6" spans="1:83" ht="19.2" customHeight="1" x14ac:dyDescent="0.3">
      <c r="A6" s="3">
        <v>13385</v>
      </c>
      <c r="B6" t="s">
        <v>102</v>
      </c>
      <c r="C6" s="4" t="s">
        <v>103</v>
      </c>
      <c r="D6" s="5" t="s">
        <v>86</v>
      </c>
      <c r="E6" s="6" t="s">
        <v>104</v>
      </c>
      <c r="F6" t="s">
        <v>105</v>
      </c>
      <c r="G6">
        <v>187</v>
      </c>
      <c r="H6">
        <v>0</v>
      </c>
      <c r="J6" t="s">
        <v>106</v>
      </c>
      <c r="K6" t="s">
        <v>147</v>
      </c>
      <c r="L6" t="s">
        <v>142</v>
      </c>
      <c r="M6" s="27"/>
      <c r="N6" s="8">
        <v>21233.041025000002</v>
      </c>
      <c r="O6" s="10">
        <v>0</v>
      </c>
      <c r="P6" s="10">
        <v>0</v>
      </c>
      <c r="Q6" s="9" t="s">
        <v>108</v>
      </c>
      <c r="S6" s="11">
        <v>6000</v>
      </c>
      <c r="T6">
        <v>300</v>
      </c>
      <c r="U6" s="12">
        <v>6300</v>
      </c>
      <c r="V6" s="11">
        <v>5500</v>
      </c>
      <c r="W6">
        <v>200</v>
      </c>
      <c r="X6" s="13">
        <v>5700</v>
      </c>
      <c r="Y6" s="11">
        <v>3736</v>
      </c>
      <c r="Z6" s="14">
        <v>36</v>
      </c>
      <c r="AA6" s="15">
        <v>3771.8100000000018</v>
      </c>
      <c r="AB6">
        <v>0</v>
      </c>
      <c r="AC6">
        <v>0</v>
      </c>
      <c r="AD6">
        <v>0</v>
      </c>
      <c r="AE6" s="16">
        <v>1480.32</v>
      </c>
      <c r="AF6" s="14">
        <v>36</v>
      </c>
      <c r="AG6" s="17">
        <v>1516.32</v>
      </c>
      <c r="AH6" s="16">
        <v>288.59999999999997</v>
      </c>
      <c r="AI6" s="14">
        <v>14.430000000000007</v>
      </c>
      <c r="AJ6" s="18">
        <v>303.02999999999997</v>
      </c>
      <c r="AK6" s="16">
        <v>499.8</v>
      </c>
      <c r="AL6" s="14">
        <v>24.989999999999952</v>
      </c>
      <c r="AM6" s="18">
        <v>524.79</v>
      </c>
      <c r="AN6" s="19">
        <v>0</v>
      </c>
      <c r="AO6" s="14">
        <v>0</v>
      </c>
      <c r="AP6" s="18">
        <v>0</v>
      </c>
      <c r="AQ6" s="16">
        <v>114.27</v>
      </c>
      <c r="AR6" s="14">
        <v>3.730000000000004</v>
      </c>
      <c r="AS6" s="18">
        <v>118</v>
      </c>
      <c r="AT6" s="19">
        <v>5753.89</v>
      </c>
      <c r="AU6" s="14">
        <v>91.669999999999163</v>
      </c>
      <c r="AV6" s="18">
        <v>5845.5599999999995</v>
      </c>
      <c r="AW6">
        <v>0</v>
      </c>
      <c r="AX6" s="20">
        <v>633</v>
      </c>
      <c r="AY6">
        <v>0</v>
      </c>
      <c r="AZ6">
        <v>0</v>
      </c>
      <c r="BA6">
        <v>0</v>
      </c>
      <c r="BB6">
        <v>0</v>
      </c>
      <c r="BC6">
        <v>0</v>
      </c>
      <c r="BD6" s="26" t="s">
        <v>133</v>
      </c>
      <c r="BF6" s="11">
        <v>1000</v>
      </c>
      <c r="BG6">
        <v>0</v>
      </c>
      <c r="BH6" s="21">
        <v>1000</v>
      </c>
      <c r="BI6" s="11">
        <v>1600</v>
      </c>
      <c r="BJ6">
        <v>0</v>
      </c>
      <c r="BK6" s="21">
        <v>1600</v>
      </c>
      <c r="BL6" s="22">
        <v>0</v>
      </c>
      <c r="BM6" s="23">
        <v>0</v>
      </c>
      <c r="BN6" s="21">
        <v>0</v>
      </c>
      <c r="BO6" s="19">
        <v>2300</v>
      </c>
      <c r="BP6">
        <v>0</v>
      </c>
      <c r="BQ6" s="24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s="7">
        <v>0</v>
      </c>
      <c r="BZ6">
        <v>0</v>
      </c>
      <c r="CA6" s="23">
        <v>0</v>
      </c>
      <c r="CB6" s="14">
        <v>4000</v>
      </c>
      <c r="CC6" s="14">
        <v>500</v>
      </c>
      <c r="CD6" s="14">
        <v>4500</v>
      </c>
    </row>
    <row r="7" spans="1:83" ht="19.2" customHeight="1" x14ac:dyDescent="0.3">
      <c r="A7">
        <v>2</v>
      </c>
      <c r="B7" t="s">
        <v>109</v>
      </c>
      <c r="C7" s="28" t="s">
        <v>110</v>
      </c>
      <c r="D7" t="s">
        <v>111</v>
      </c>
      <c r="E7" t="s">
        <v>112</v>
      </c>
      <c r="F7" t="s">
        <v>113</v>
      </c>
      <c r="G7">
        <v>94</v>
      </c>
      <c r="H7">
        <v>0</v>
      </c>
      <c r="I7" t="s">
        <v>114</v>
      </c>
      <c r="J7" t="s">
        <v>107</v>
      </c>
      <c r="K7" t="s">
        <v>115</v>
      </c>
      <c r="L7" t="s">
        <v>116</v>
      </c>
      <c r="M7" s="29"/>
      <c r="N7">
        <v>13001</v>
      </c>
      <c r="O7" s="30">
        <v>9</v>
      </c>
      <c r="P7" s="30">
        <v>32.355459740057114</v>
      </c>
      <c r="Q7" s="23" t="s">
        <v>88</v>
      </c>
      <c r="R7" t="s">
        <v>117</v>
      </c>
      <c r="S7">
        <v>4000</v>
      </c>
      <c r="T7">
        <v>400</v>
      </c>
      <c r="U7">
        <v>4400</v>
      </c>
      <c r="V7">
        <v>3500</v>
      </c>
      <c r="W7">
        <v>200</v>
      </c>
      <c r="X7">
        <v>3700</v>
      </c>
      <c r="Y7">
        <v>1021</v>
      </c>
      <c r="Z7">
        <v>266</v>
      </c>
      <c r="AA7">
        <v>1287</v>
      </c>
      <c r="AB7">
        <v>0</v>
      </c>
      <c r="AC7">
        <v>0</v>
      </c>
      <c r="AD7">
        <v>0</v>
      </c>
      <c r="AE7">
        <v>855</v>
      </c>
      <c r="AF7">
        <v>79</v>
      </c>
      <c r="AG7">
        <v>934</v>
      </c>
      <c r="AH7">
        <v>192</v>
      </c>
      <c r="AI7">
        <v>20</v>
      </c>
      <c r="AJ7">
        <v>212</v>
      </c>
      <c r="AK7">
        <v>333</v>
      </c>
      <c r="AL7">
        <v>34</v>
      </c>
      <c r="AM7">
        <v>367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10621</v>
      </c>
      <c r="AU7">
        <v>866</v>
      </c>
      <c r="AV7">
        <v>11487</v>
      </c>
      <c r="AW7">
        <v>12001</v>
      </c>
      <c r="AX7">
        <v>3883</v>
      </c>
      <c r="AY7">
        <v>1000</v>
      </c>
      <c r="AZ7">
        <v>13000</v>
      </c>
      <c r="BA7">
        <v>144012</v>
      </c>
      <c r="BB7">
        <v>12000</v>
      </c>
      <c r="BC7">
        <v>156000</v>
      </c>
      <c r="BD7" s="26" t="s">
        <v>118</v>
      </c>
      <c r="BE7" t="s">
        <v>119</v>
      </c>
      <c r="BF7">
        <v>500</v>
      </c>
      <c r="BG7">
        <v>0</v>
      </c>
      <c r="BH7">
        <v>500</v>
      </c>
      <c r="BI7">
        <v>1600</v>
      </c>
      <c r="BJ7">
        <v>0</v>
      </c>
      <c r="BK7">
        <v>1600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1380</v>
      </c>
      <c r="BS7">
        <v>133</v>
      </c>
      <c r="BT7">
        <v>1513</v>
      </c>
      <c r="BU7">
        <v>10</v>
      </c>
      <c r="BV7">
        <v>10</v>
      </c>
      <c r="BW7">
        <v>20</v>
      </c>
      <c r="BX7">
        <v>0</v>
      </c>
      <c r="BY7" s="30">
        <v>0</v>
      </c>
      <c r="BZ7">
        <v>0</v>
      </c>
      <c r="CA7" s="23">
        <v>10</v>
      </c>
      <c r="CB7" s="23">
        <v>15</v>
      </c>
      <c r="CC7" s="23">
        <v>5</v>
      </c>
      <c r="CD7" s="23">
        <v>20</v>
      </c>
    </row>
    <row r="8" spans="1:83" ht="19.2" customHeight="1" x14ac:dyDescent="0.3">
      <c r="A8">
        <v>1</v>
      </c>
      <c r="B8" t="s">
        <v>120</v>
      </c>
      <c r="C8" s="28" t="s">
        <v>121</v>
      </c>
      <c r="D8" t="s">
        <v>122</v>
      </c>
      <c r="E8" t="s">
        <v>123</v>
      </c>
      <c r="G8">
        <v>104</v>
      </c>
      <c r="H8">
        <v>5</v>
      </c>
      <c r="I8" t="s">
        <v>124</v>
      </c>
      <c r="J8" t="s">
        <v>107</v>
      </c>
      <c r="K8" t="s">
        <v>125</v>
      </c>
      <c r="L8" t="s">
        <v>126</v>
      </c>
      <c r="M8" s="29"/>
      <c r="N8">
        <v>13500</v>
      </c>
      <c r="O8" s="30">
        <v>9.5</v>
      </c>
      <c r="P8" s="30">
        <v>32.355459740057114</v>
      </c>
      <c r="Q8" s="23" t="s">
        <v>101</v>
      </c>
      <c r="R8" t="s">
        <v>127</v>
      </c>
      <c r="S8">
        <v>4300</v>
      </c>
      <c r="T8">
        <v>410</v>
      </c>
      <c r="U8">
        <v>4710</v>
      </c>
      <c r="V8">
        <v>3500</v>
      </c>
      <c r="W8">
        <v>200</v>
      </c>
      <c r="X8">
        <v>3700</v>
      </c>
      <c r="Y8">
        <v>1021</v>
      </c>
      <c r="Z8">
        <v>266</v>
      </c>
      <c r="AA8">
        <v>1287</v>
      </c>
      <c r="AB8">
        <v>0</v>
      </c>
      <c r="AC8">
        <v>0</v>
      </c>
      <c r="AD8">
        <v>0</v>
      </c>
      <c r="AE8">
        <v>855</v>
      </c>
      <c r="AF8">
        <v>79</v>
      </c>
      <c r="AG8">
        <v>934</v>
      </c>
      <c r="AH8">
        <v>285</v>
      </c>
      <c r="AI8">
        <v>20</v>
      </c>
      <c r="AJ8">
        <v>305</v>
      </c>
      <c r="AK8">
        <v>333</v>
      </c>
      <c r="AL8">
        <v>34</v>
      </c>
      <c r="AM8">
        <v>367</v>
      </c>
      <c r="AN8">
        <v>0</v>
      </c>
      <c r="AO8">
        <v>0</v>
      </c>
      <c r="AP8">
        <v>0</v>
      </c>
      <c r="AQ8">
        <v>100</v>
      </c>
      <c r="AR8">
        <v>10</v>
      </c>
      <c r="AS8">
        <v>110</v>
      </c>
      <c r="AT8">
        <v>10621</v>
      </c>
      <c r="AU8">
        <v>866</v>
      </c>
      <c r="AV8">
        <v>11487</v>
      </c>
      <c r="AW8">
        <v>12001</v>
      </c>
      <c r="AX8">
        <v>3883</v>
      </c>
      <c r="AY8">
        <v>1000</v>
      </c>
      <c r="AZ8">
        <v>13000</v>
      </c>
      <c r="BA8">
        <v>144012</v>
      </c>
      <c r="BB8">
        <v>12000</v>
      </c>
      <c r="BC8">
        <v>156000</v>
      </c>
      <c r="BD8" s="26" t="s">
        <v>89</v>
      </c>
      <c r="BF8">
        <v>500</v>
      </c>
      <c r="BG8">
        <v>0</v>
      </c>
      <c r="BH8">
        <v>500</v>
      </c>
      <c r="BI8">
        <v>1600</v>
      </c>
      <c r="BJ8">
        <v>0</v>
      </c>
      <c r="BK8">
        <v>1600</v>
      </c>
      <c r="BL8">
        <v>0</v>
      </c>
      <c r="BM8">
        <v>0</v>
      </c>
      <c r="BN8">
        <v>0</v>
      </c>
      <c r="BO8">
        <v>100</v>
      </c>
      <c r="BP8">
        <v>20</v>
      </c>
      <c r="BQ8">
        <v>120</v>
      </c>
      <c r="BR8">
        <v>1380</v>
      </c>
      <c r="BS8">
        <v>133</v>
      </c>
      <c r="BT8">
        <v>1513</v>
      </c>
      <c r="BU8">
        <v>10</v>
      </c>
      <c r="BV8">
        <v>10</v>
      </c>
      <c r="BW8">
        <v>20</v>
      </c>
      <c r="BX8">
        <v>0</v>
      </c>
      <c r="BY8" s="30">
        <v>10</v>
      </c>
      <c r="BZ8">
        <v>50</v>
      </c>
      <c r="CA8" s="23">
        <v>10</v>
      </c>
      <c r="CB8" s="23">
        <v>0</v>
      </c>
      <c r="CC8" s="23">
        <v>0</v>
      </c>
      <c r="CD8" s="23">
        <v>0</v>
      </c>
    </row>
    <row r="9" spans="1:83" ht="19.2" customHeight="1" x14ac:dyDescent="0.3">
      <c r="A9">
        <v>3</v>
      </c>
      <c r="B9" t="s">
        <v>128</v>
      </c>
      <c r="C9" s="28" t="s">
        <v>129</v>
      </c>
      <c r="D9" t="s">
        <v>130</v>
      </c>
      <c r="E9" t="s">
        <v>131</v>
      </c>
      <c r="F9" t="s">
        <v>131</v>
      </c>
      <c r="G9">
        <v>187</v>
      </c>
      <c r="H9">
        <v>2</v>
      </c>
      <c r="I9" t="s">
        <v>131</v>
      </c>
      <c r="J9" t="s">
        <v>106</v>
      </c>
      <c r="K9" t="s">
        <v>141</v>
      </c>
      <c r="L9" t="s">
        <v>116</v>
      </c>
      <c r="M9" s="29"/>
      <c r="N9">
        <v>105050</v>
      </c>
      <c r="O9" s="30">
        <v>30</v>
      </c>
      <c r="P9" s="30">
        <v>28</v>
      </c>
      <c r="Q9" s="23" t="s">
        <v>84</v>
      </c>
      <c r="R9" t="s">
        <v>132</v>
      </c>
      <c r="S9" s="23">
        <v>17000</v>
      </c>
      <c r="T9" s="23">
        <v>6000</v>
      </c>
      <c r="U9" s="23">
        <v>23000</v>
      </c>
      <c r="V9" s="23">
        <v>8500</v>
      </c>
      <c r="W9" s="23">
        <v>3000</v>
      </c>
      <c r="X9" s="23">
        <v>11500</v>
      </c>
      <c r="Y9" s="23">
        <v>6800</v>
      </c>
      <c r="Z9" s="23">
        <v>4200</v>
      </c>
      <c r="AA9" s="23">
        <v>11000</v>
      </c>
      <c r="AB9" s="23">
        <v>0</v>
      </c>
      <c r="AC9" s="23">
        <v>0</v>
      </c>
      <c r="AD9" s="23">
        <v>0</v>
      </c>
      <c r="AE9">
        <v>1800</v>
      </c>
      <c r="AF9">
        <v>0</v>
      </c>
      <c r="AG9">
        <v>1800</v>
      </c>
      <c r="AH9">
        <v>817.7</v>
      </c>
      <c r="AI9">
        <v>288.60000000000002</v>
      </c>
      <c r="AJ9">
        <v>1106.3</v>
      </c>
      <c r="AK9">
        <v>1417</v>
      </c>
      <c r="AL9">
        <v>500</v>
      </c>
      <c r="AM9">
        <v>1917</v>
      </c>
      <c r="AN9">
        <v>4500</v>
      </c>
      <c r="AO9">
        <v>2000</v>
      </c>
      <c r="AP9">
        <v>6500</v>
      </c>
      <c r="AQ9">
        <v>0</v>
      </c>
      <c r="AR9">
        <v>0</v>
      </c>
      <c r="AS9">
        <v>0</v>
      </c>
      <c r="AT9">
        <v>85000</v>
      </c>
      <c r="AU9">
        <v>16565</v>
      </c>
      <c r="AV9">
        <v>101565</v>
      </c>
      <c r="AW9">
        <v>120000</v>
      </c>
      <c r="AX9">
        <v>4800</v>
      </c>
      <c r="AY9">
        <v>28500</v>
      </c>
      <c r="AZ9">
        <v>16800</v>
      </c>
      <c r="BA9">
        <v>44444</v>
      </c>
      <c r="BB9">
        <v>95630</v>
      </c>
      <c r="BC9">
        <f>BB9*12</f>
        <v>1147560</v>
      </c>
      <c r="BD9" s="26" t="s">
        <v>89</v>
      </c>
      <c r="BE9" s="26" t="s">
        <v>133</v>
      </c>
      <c r="BF9">
        <v>850</v>
      </c>
      <c r="BG9">
        <v>60</v>
      </c>
      <c r="BH9">
        <v>910</v>
      </c>
      <c r="BI9">
        <v>2500</v>
      </c>
      <c r="BJ9">
        <v>300</v>
      </c>
      <c r="BK9">
        <v>2800</v>
      </c>
      <c r="BL9">
        <v>5500</v>
      </c>
      <c r="BM9">
        <v>600</v>
      </c>
      <c r="BN9">
        <v>6100</v>
      </c>
      <c r="BO9">
        <v>4500</v>
      </c>
      <c r="BP9">
        <v>300</v>
      </c>
      <c r="BQ9">
        <v>4800</v>
      </c>
      <c r="BR9">
        <v>11111</v>
      </c>
      <c r="BS9">
        <v>222</v>
      </c>
      <c r="BT9">
        <v>666666</v>
      </c>
      <c r="BU9">
        <v>7777</v>
      </c>
      <c r="BV9">
        <v>4646</v>
      </c>
      <c r="BW9">
        <v>4545</v>
      </c>
      <c r="BX9">
        <v>3030</v>
      </c>
      <c r="BY9" s="30">
        <v>6060</v>
      </c>
      <c r="BZ9">
        <v>5050</v>
      </c>
      <c r="CA9" s="23">
        <v>5151</v>
      </c>
      <c r="CB9" s="23">
        <v>0</v>
      </c>
      <c r="CC9" s="23">
        <v>0</v>
      </c>
      <c r="CD9" s="23">
        <v>0</v>
      </c>
    </row>
    <row r="10" spans="1:83" ht="19.2" customHeight="1" x14ac:dyDescent="0.3">
      <c r="A10">
        <v>5</v>
      </c>
      <c r="B10" t="s">
        <v>143</v>
      </c>
      <c r="C10" s="28" t="s">
        <v>135</v>
      </c>
      <c r="D10" t="s">
        <v>122</v>
      </c>
      <c r="E10" t="s">
        <v>123</v>
      </c>
      <c r="G10">
        <v>94</v>
      </c>
      <c r="H10">
        <v>0</v>
      </c>
      <c r="I10" t="s">
        <v>124</v>
      </c>
      <c r="J10" t="s">
        <v>107</v>
      </c>
      <c r="K10" t="s">
        <v>136</v>
      </c>
      <c r="L10" t="s">
        <v>126</v>
      </c>
      <c r="M10" s="29"/>
      <c r="N10">
        <v>13001</v>
      </c>
      <c r="O10" s="30">
        <v>9</v>
      </c>
      <c r="P10" s="30">
        <v>32.355459740057114</v>
      </c>
      <c r="Q10" s="23" t="s">
        <v>101</v>
      </c>
      <c r="R10" t="s">
        <v>127</v>
      </c>
      <c r="S10">
        <v>4000</v>
      </c>
      <c r="T10">
        <v>400</v>
      </c>
      <c r="U10">
        <v>4400</v>
      </c>
      <c r="V10">
        <v>3500</v>
      </c>
      <c r="W10">
        <v>200</v>
      </c>
      <c r="X10">
        <v>3700</v>
      </c>
      <c r="Y10">
        <v>1021</v>
      </c>
      <c r="Z10">
        <v>266</v>
      </c>
      <c r="AA10">
        <v>1287</v>
      </c>
      <c r="AB10">
        <v>0</v>
      </c>
      <c r="AC10">
        <v>0</v>
      </c>
      <c r="AD10">
        <v>0</v>
      </c>
      <c r="AE10">
        <v>855</v>
      </c>
      <c r="AF10">
        <v>79</v>
      </c>
      <c r="AG10">
        <v>934</v>
      </c>
      <c r="AH10">
        <v>192</v>
      </c>
      <c r="AI10">
        <v>20</v>
      </c>
      <c r="AJ10">
        <v>212</v>
      </c>
      <c r="AK10">
        <v>333</v>
      </c>
      <c r="AL10">
        <v>34</v>
      </c>
      <c r="AM10">
        <v>367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10621</v>
      </c>
      <c r="AU10">
        <v>866</v>
      </c>
      <c r="AV10">
        <v>11487</v>
      </c>
      <c r="AW10">
        <v>12001</v>
      </c>
      <c r="AX10">
        <v>3883</v>
      </c>
      <c r="AY10">
        <v>1000</v>
      </c>
      <c r="AZ10">
        <v>13000</v>
      </c>
      <c r="BA10">
        <v>144012</v>
      </c>
      <c r="BB10">
        <v>12000</v>
      </c>
      <c r="BC10">
        <v>156000</v>
      </c>
      <c r="BD10" s="26" t="s">
        <v>133</v>
      </c>
      <c r="BE10" t="s">
        <v>119</v>
      </c>
      <c r="BF10">
        <v>500</v>
      </c>
      <c r="BG10">
        <v>0</v>
      </c>
      <c r="BH10">
        <v>500</v>
      </c>
      <c r="BI10">
        <v>1600</v>
      </c>
      <c r="BJ10">
        <v>0</v>
      </c>
      <c r="BK10">
        <v>1600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1380</v>
      </c>
      <c r="BS10">
        <v>133</v>
      </c>
      <c r="BT10">
        <v>1513</v>
      </c>
      <c r="BU10">
        <v>10</v>
      </c>
      <c r="BV10">
        <v>10</v>
      </c>
      <c r="BW10">
        <v>20</v>
      </c>
      <c r="BX10">
        <v>0</v>
      </c>
      <c r="BY10" s="30">
        <v>10</v>
      </c>
      <c r="BZ10">
        <v>50</v>
      </c>
      <c r="CA10" s="23">
        <v>10</v>
      </c>
      <c r="CB10" s="23">
        <v>0</v>
      </c>
      <c r="CC10" s="23">
        <v>0</v>
      </c>
      <c r="CD10" s="23">
        <v>0</v>
      </c>
    </row>
    <row r="11" spans="1:83" ht="19.2" customHeight="1" x14ac:dyDescent="0.3">
      <c r="A11">
        <v>45</v>
      </c>
      <c r="B11" t="s">
        <v>185</v>
      </c>
      <c r="C11" s="28" t="s">
        <v>137</v>
      </c>
      <c r="D11" t="s">
        <v>122</v>
      </c>
      <c r="E11" t="s">
        <v>123</v>
      </c>
      <c r="G11">
        <v>256</v>
      </c>
      <c r="H11">
        <v>0</v>
      </c>
      <c r="I11" t="s">
        <v>124</v>
      </c>
      <c r="J11" t="s">
        <v>107</v>
      </c>
      <c r="K11" t="s">
        <v>125</v>
      </c>
      <c r="L11" t="s">
        <v>126</v>
      </c>
      <c r="M11" s="29"/>
      <c r="N11">
        <v>13001</v>
      </c>
      <c r="O11" s="30">
        <v>9</v>
      </c>
      <c r="P11" s="30">
        <v>32.355459740057114</v>
      </c>
      <c r="Q11" s="23" t="s">
        <v>101</v>
      </c>
      <c r="R11" t="s">
        <v>127</v>
      </c>
      <c r="S11">
        <v>4000</v>
      </c>
      <c r="T11">
        <v>400</v>
      </c>
      <c r="U11">
        <v>4400</v>
      </c>
      <c r="V11">
        <v>3500</v>
      </c>
      <c r="W11">
        <v>200</v>
      </c>
      <c r="X11">
        <v>3700</v>
      </c>
      <c r="Y11">
        <v>1021</v>
      </c>
      <c r="Z11">
        <v>266</v>
      </c>
      <c r="AA11">
        <v>1287</v>
      </c>
      <c r="AB11">
        <v>0</v>
      </c>
      <c r="AC11">
        <v>0</v>
      </c>
      <c r="AD11">
        <v>0</v>
      </c>
      <c r="AE11">
        <v>855</v>
      </c>
      <c r="AF11">
        <v>79</v>
      </c>
      <c r="AG11">
        <v>934</v>
      </c>
      <c r="AH11">
        <v>192</v>
      </c>
      <c r="AI11">
        <v>20</v>
      </c>
      <c r="AJ11">
        <v>212</v>
      </c>
      <c r="AK11">
        <v>333</v>
      </c>
      <c r="AL11">
        <v>34</v>
      </c>
      <c r="AM11">
        <v>367</v>
      </c>
      <c r="AN11">
        <v>0</v>
      </c>
      <c r="AO11">
        <v>0</v>
      </c>
      <c r="AP11">
        <v>0</v>
      </c>
      <c r="AQ11">
        <v>100</v>
      </c>
      <c r="AR11">
        <v>10</v>
      </c>
      <c r="AS11">
        <v>110</v>
      </c>
      <c r="AT11">
        <v>10621</v>
      </c>
      <c r="AU11">
        <v>866</v>
      </c>
      <c r="AV11">
        <v>11487</v>
      </c>
      <c r="AW11">
        <v>12001</v>
      </c>
      <c r="AX11">
        <v>3883</v>
      </c>
      <c r="AY11">
        <v>1000</v>
      </c>
      <c r="AZ11">
        <v>13000</v>
      </c>
      <c r="BA11">
        <v>144012</v>
      </c>
      <c r="BB11">
        <v>12000</v>
      </c>
      <c r="BC11">
        <v>156000</v>
      </c>
      <c r="BD11" s="26" t="s">
        <v>133</v>
      </c>
      <c r="BE11" t="s">
        <v>119</v>
      </c>
      <c r="BF11">
        <v>500</v>
      </c>
      <c r="BG11">
        <v>0</v>
      </c>
      <c r="BH11">
        <v>500</v>
      </c>
      <c r="BI11">
        <v>1600</v>
      </c>
      <c r="BJ11">
        <v>0</v>
      </c>
      <c r="BK11">
        <v>1600</v>
      </c>
      <c r="BL11">
        <v>0</v>
      </c>
      <c r="BM11">
        <v>0</v>
      </c>
      <c r="BN11">
        <v>0</v>
      </c>
      <c r="BO11">
        <v>100</v>
      </c>
      <c r="BP11">
        <v>20</v>
      </c>
      <c r="BQ11">
        <v>120</v>
      </c>
      <c r="BR11">
        <v>1380</v>
      </c>
      <c r="BS11">
        <v>133</v>
      </c>
      <c r="BT11">
        <v>1513</v>
      </c>
      <c r="BU11">
        <v>10</v>
      </c>
      <c r="BV11">
        <v>10</v>
      </c>
      <c r="BW11">
        <v>20</v>
      </c>
      <c r="BX11">
        <v>0</v>
      </c>
      <c r="BY11" s="30">
        <v>10</v>
      </c>
      <c r="BZ11">
        <v>50</v>
      </c>
      <c r="CA11" s="23">
        <v>10</v>
      </c>
      <c r="CB11" s="23">
        <v>0</v>
      </c>
      <c r="CC11" s="23">
        <v>0</v>
      </c>
      <c r="CD11" s="23">
        <v>0</v>
      </c>
    </row>
    <row r="12" spans="1:83" ht="19.2" customHeight="1" x14ac:dyDescent="0.3">
      <c r="A12">
        <v>244</v>
      </c>
      <c r="B12" t="s">
        <v>145</v>
      </c>
      <c r="C12" s="28" t="s">
        <v>138</v>
      </c>
      <c r="D12" t="s">
        <v>122</v>
      </c>
      <c r="E12" t="s">
        <v>112</v>
      </c>
      <c r="G12">
        <v>100</v>
      </c>
      <c r="H12">
        <v>0</v>
      </c>
      <c r="I12" t="s">
        <v>124</v>
      </c>
      <c r="J12" t="s">
        <v>107</v>
      </c>
      <c r="K12" t="s">
        <v>115</v>
      </c>
      <c r="L12" t="s">
        <v>116</v>
      </c>
      <c r="M12" s="29"/>
      <c r="N12">
        <v>13001</v>
      </c>
      <c r="O12" s="30">
        <v>9</v>
      </c>
      <c r="P12" s="30">
        <v>32.355459740057114</v>
      </c>
      <c r="Q12" s="23" t="s">
        <v>101</v>
      </c>
      <c r="R12" t="s">
        <v>127</v>
      </c>
      <c r="S12">
        <v>4000</v>
      </c>
      <c r="T12">
        <v>400</v>
      </c>
      <c r="U12">
        <v>4400</v>
      </c>
      <c r="V12">
        <v>3500</v>
      </c>
      <c r="W12">
        <v>200</v>
      </c>
      <c r="X12">
        <v>3700</v>
      </c>
      <c r="Y12">
        <v>1021</v>
      </c>
      <c r="Z12">
        <v>266</v>
      </c>
      <c r="AA12">
        <v>1287</v>
      </c>
      <c r="AB12">
        <v>0</v>
      </c>
      <c r="AC12">
        <v>0</v>
      </c>
      <c r="AD12">
        <v>0</v>
      </c>
      <c r="AE12">
        <v>855</v>
      </c>
      <c r="AF12">
        <v>79</v>
      </c>
      <c r="AG12">
        <v>934</v>
      </c>
      <c r="AH12">
        <v>192</v>
      </c>
      <c r="AI12">
        <v>20</v>
      </c>
      <c r="AJ12">
        <v>212</v>
      </c>
      <c r="AK12">
        <v>333</v>
      </c>
      <c r="AL12">
        <v>34</v>
      </c>
      <c r="AM12">
        <v>367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10621</v>
      </c>
      <c r="AU12">
        <v>866</v>
      </c>
      <c r="AV12">
        <v>11487</v>
      </c>
      <c r="AW12">
        <v>12001</v>
      </c>
      <c r="AX12">
        <v>3883</v>
      </c>
      <c r="AY12">
        <v>1000</v>
      </c>
      <c r="AZ12">
        <v>13000</v>
      </c>
      <c r="BA12">
        <v>144012</v>
      </c>
      <c r="BB12">
        <v>12000</v>
      </c>
      <c r="BC12">
        <v>156000</v>
      </c>
      <c r="BD12" s="26" t="s">
        <v>118</v>
      </c>
      <c r="BE12" t="s">
        <v>119</v>
      </c>
      <c r="BF12">
        <v>500</v>
      </c>
      <c r="BG12">
        <v>0</v>
      </c>
      <c r="BH12">
        <v>500</v>
      </c>
      <c r="BI12">
        <v>1600</v>
      </c>
      <c r="BJ12">
        <v>0</v>
      </c>
      <c r="BK12">
        <v>1600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1380</v>
      </c>
      <c r="BS12">
        <v>133</v>
      </c>
      <c r="BT12">
        <v>1513</v>
      </c>
      <c r="BU12">
        <v>10</v>
      </c>
      <c r="BV12">
        <v>10</v>
      </c>
      <c r="BW12">
        <v>20</v>
      </c>
      <c r="BX12">
        <v>0</v>
      </c>
      <c r="BY12" s="30">
        <v>0</v>
      </c>
      <c r="BZ12">
        <v>0</v>
      </c>
      <c r="CA12" s="23">
        <v>10</v>
      </c>
      <c r="CB12" s="23">
        <v>758</v>
      </c>
      <c r="CC12" s="23">
        <v>80</v>
      </c>
      <c r="CD12" s="23">
        <v>838</v>
      </c>
    </row>
    <row r="13" spans="1:83" ht="19.2" customHeight="1" x14ac:dyDescent="0.3">
      <c r="A13">
        <v>675</v>
      </c>
      <c r="B13" t="s">
        <v>146</v>
      </c>
      <c r="C13" s="28" t="s">
        <v>139</v>
      </c>
      <c r="D13" t="s">
        <v>122</v>
      </c>
      <c r="E13" t="s">
        <v>140</v>
      </c>
      <c r="G13">
        <v>94</v>
      </c>
      <c r="H13">
        <v>0</v>
      </c>
      <c r="I13" t="s">
        <v>124</v>
      </c>
      <c r="J13" t="s">
        <v>107</v>
      </c>
      <c r="K13" t="s">
        <v>141</v>
      </c>
      <c r="L13" t="s">
        <v>142</v>
      </c>
      <c r="M13" s="29"/>
      <c r="N13">
        <v>13001</v>
      </c>
      <c r="O13" s="30">
        <v>9</v>
      </c>
      <c r="P13" s="30">
        <v>32.355459740057114</v>
      </c>
      <c r="Q13" s="23" t="s">
        <v>101</v>
      </c>
      <c r="R13" t="s">
        <v>127</v>
      </c>
      <c r="S13">
        <v>4000</v>
      </c>
      <c r="T13">
        <v>400</v>
      </c>
      <c r="U13">
        <v>4400</v>
      </c>
      <c r="V13">
        <v>3500</v>
      </c>
      <c r="W13">
        <v>200</v>
      </c>
      <c r="X13">
        <v>3700</v>
      </c>
      <c r="Y13">
        <v>1021</v>
      </c>
      <c r="Z13">
        <v>266</v>
      </c>
      <c r="AA13">
        <v>1287</v>
      </c>
      <c r="AB13">
        <v>0</v>
      </c>
      <c r="AC13">
        <v>0</v>
      </c>
      <c r="AD13">
        <v>0</v>
      </c>
      <c r="AE13">
        <v>855</v>
      </c>
      <c r="AF13">
        <v>79</v>
      </c>
      <c r="AG13">
        <v>934</v>
      </c>
      <c r="AH13">
        <v>192</v>
      </c>
      <c r="AI13">
        <v>20</v>
      </c>
      <c r="AJ13">
        <v>212</v>
      </c>
      <c r="AK13">
        <v>333</v>
      </c>
      <c r="AL13">
        <v>34</v>
      </c>
      <c r="AM13">
        <v>367</v>
      </c>
      <c r="AN13">
        <v>0</v>
      </c>
      <c r="AO13">
        <v>0</v>
      </c>
      <c r="AP13">
        <v>0</v>
      </c>
      <c r="AQ13">
        <v>100</v>
      </c>
      <c r="AR13">
        <v>50</v>
      </c>
      <c r="AS13">
        <v>150</v>
      </c>
      <c r="AT13">
        <v>10621</v>
      </c>
      <c r="AU13">
        <v>866</v>
      </c>
      <c r="AV13">
        <v>11487</v>
      </c>
      <c r="AW13">
        <v>12001</v>
      </c>
      <c r="AX13">
        <v>3883</v>
      </c>
      <c r="AY13">
        <v>1000</v>
      </c>
      <c r="AZ13">
        <v>13000</v>
      </c>
      <c r="BA13">
        <v>144012</v>
      </c>
      <c r="BB13">
        <v>12000</v>
      </c>
      <c r="BC13">
        <v>156000</v>
      </c>
      <c r="BD13" s="26" t="s">
        <v>89</v>
      </c>
      <c r="BE13" t="s">
        <v>119</v>
      </c>
      <c r="BF13">
        <v>500</v>
      </c>
      <c r="BG13">
        <v>0</v>
      </c>
      <c r="BH13">
        <v>500</v>
      </c>
      <c r="BI13">
        <v>1600</v>
      </c>
      <c r="BJ13">
        <v>0</v>
      </c>
      <c r="BK13">
        <v>1600</v>
      </c>
      <c r="BL13">
        <v>0</v>
      </c>
      <c r="BM13">
        <v>0</v>
      </c>
      <c r="BN13">
        <v>0</v>
      </c>
      <c r="BO13">
        <v>100</v>
      </c>
      <c r="BP13">
        <v>20</v>
      </c>
      <c r="BQ13">
        <v>120</v>
      </c>
      <c r="BR13">
        <v>1380</v>
      </c>
      <c r="BS13">
        <v>133</v>
      </c>
      <c r="BT13">
        <v>1513</v>
      </c>
      <c r="BU13">
        <v>0</v>
      </c>
      <c r="BV13">
        <v>0</v>
      </c>
      <c r="BW13">
        <v>0</v>
      </c>
      <c r="BX13">
        <v>0</v>
      </c>
      <c r="BY13" s="30">
        <v>0</v>
      </c>
      <c r="BZ13">
        <v>0</v>
      </c>
      <c r="CA13" s="23">
        <v>10</v>
      </c>
      <c r="CB13" s="23">
        <v>0</v>
      </c>
      <c r="CC13" s="23">
        <v>0</v>
      </c>
      <c r="CD13" s="23">
        <v>0</v>
      </c>
    </row>
    <row r="14" spans="1:83" ht="14.4" x14ac:dyDescent="0.3">
      <c r="A14">
        <v>34</v>
      </c>
      <c r="B14" t="s">
        <v>150</v>
      </c>
      <c r="C14" s="28" t="s">
        <v>148</v>
      </c>
      <c r="D14" t="s">
        <v>130</v>
      </c>
      <c r="E14" t="s">
        <v>131</v>
      </c>
      <c r="F14" t="s">
        <v>131</v>
      </c>
      <c r="G14">
        <v>105</v>
      </c>
      <c r="H14">
        <v>2</v>
      </c>
      <c r="I14" t="s">
        <v>131</v>
      </c>
      <c r="J14" t="s">
        <v>106</v>
      </c>
      <c r="K14" t="s">
        <v>141</v>
      </c>
      <c r="L14" t="s">
        <v>116</v>
      </c>
      <c r="M14" s="29"/>
      <c r="N14">
        <v>105050</v>
      </c>
      <c r="O14" s="30">
        <v>30</v>
      </c>
      <c r="P14" s="30">
        <v>28</v>
      </c>
      <c r="Q14" s="23" t="s">
        <v>84</v>
      </c>
      <c r="R14" t="s">
        <v>132</v>
      </c>
      <c r="S14" s="23">
        <v>17000</v>
      </c>
      <c r="T14" s="23">
        <v>6000</v>
      </c>
      <c r="U14" s="23">
        <v>23000</v>
      </c>
      <c r="V14" s="23">
        <v>8500</v>
      </c>
      <c r="W14" s="23">
        <v>3000</v>
      </c>
      <c r="X14" s="23">
        <v>11500</v>
      </c>
      <c r="Y14" s="23">
        <v>6800</v>
      </c>
      <c r="Z14" s="23">
        <v>4200</v>
      </c>
      <c r="AA14" s="23">
        <v>11000</v>
      </c>
      <c r="AB14" s="23">
        <v>0</v>
      </c>
      <c r="AC14" s="23">
        <v>0</v>
      </c>
      <c r="AD14" s="23">
        <v>0</v>
      </c>
      <c r="AE14">
        <v>1800</v>
      </c>
      <c r="AF14">
        <v>0</v>
      </c>
      <c r="AG14">
        <v>1800</v>
      </c>
      <c r="AH14">
        <v>817.7</v>
      </c>
      <c r="AI14">
        <v>288.60000000000002</v>
      </c>
      <c r="AJ14">
        <v>1106.3</v>
      </c>
      <c r="AK14">
        <v>1417</v>
      </c>
      <c r="AL14">
        <v>500</v>
      </c>
      <c r="AM14">
        <v>1917</v>
      </c>
      <c r="AN14">
        <v>4500</v>
      </c>
      <c r="AO14">
        <v>2000</v>
      </c>
      <c r="AP14">
        <v>6500</v>
      </c>
      <c r="AQ14">
        <v>0</v>
      </c>
      <c r="AR14">
        <v>0</v>
      </c>
      <c r="AS14">
        <v>0</v>
      </c>
      <c r="AT14">
        <v>85000</v>
      </c>
      <c r="AU14">
        <v>16565</v>
      </c>
      <c r="AV14">
        <v>101565</v>
      </c>
      <c r="AW14">
        <v>120000</v>
      </c>
      <c r="AX14">
        <v>4800</v>
      </c>
      <c r="AY14">
        <v>28500</v>
      </c>
      <c r="AZ14">
        <v>16800</v>
      </c>
      <c r="BA14">
        <v>44444</v>
      </c>
      <c r="BB14">
        <v>95630</v>
      </c>
      <c r="BC14">
        <f>BB14*12</f>
        <v>1147560</v>
      </c>
      <c r="BD14" s="26" t="s">
        <v>149</v>
      </c>
      <c r="BE14" s="26" t="s">
        <v>133</v>
      </c>
      <c r="BF14">
        <v>850</v>
      </c>
      <c r="BG14">
        <v>60</v>
      </c>
      <c r="BH14">
        <v>910</v>
      </c>
      <c r="BI14">
        <v>2500</v>
      </c>
      <c r="BJ14">
        <v>300</v>
      </c>
      <c r="BK14">
        <v>2800</v>
      </c>
      <c r="BL14">
        <v>5500</v>
      </c>
      <c r="BM14">
        <v>600</v>
      </c>
      <c r="BN14">
        <v>6100</v>
      </c>
      <c r="BO14">
        <v>4500</v>
      </c>
      <c r="BP14">
        <v>300</v>
      </c>
      <c r="BQ14">
        <v>4800</v>
      </c>
      <c r="BR14">
        <v>11111</v>
      </c>
      <c r="BS14">
        <v>222</v>
      </c>
      <c r="BT14">
        <v>666666</v>
      </c>
      <c r="BU14">
        <v>7777</v>
      </c>
      <c r="BV14">
        <v>4646</v>
      </c>
      <c r="BW14">
        <v>4545</v>
      </c>
      <c r="BX14">
        <v>3030</v>
      </c>
      <c r="BY14" s="30">
        <v>6060</v>
      </c>
      <c r="BZ14">
        <v>5050</v>
      </c>
      <c r="CA14" s="23">
        <v>5151</v>
      </c>
      <c r="CB14" s="23">
        <v>0</v>
      </c>
      <c r="CC14" s="23">
        <v>0</v>
      </c>
      <c r="CD14" s="23">
        <v>0</v>
      </c>
    </row>
    <row r="15" spans="1:83" ht="19.2" customHeight="1" x14ac:dyDescent="0.3">
      <c r="A15">
        <v>21</v>
      </c>
      <c r="B15" t="s">
        <v>151</v>
      </c>
      <c r="C15" s="31" t="s">
        <v>163</v>
      </c>
      <c r="D15" t="s">
        <v>111</v>
      </c>
      <c r="E15" t="s">
        <v>112</v>
      </c>
      <c r="G15">
        <v>232</v>
      </c>
      <c r="J15" t="s">
        <v>106</v>
      </c>
      <c r="K15" t="s">
        <v>141</v>
      </c>
      <c r="L15" t="s">
        <v>116</v>
      </c>
      <c r="N15">
        <v>14500</v>
      </c>
      <c r="O15" s="7">
        <v>0</v>
      </c>
      <c r="P15" s="7">
        <v>0</v>
      </c>
      <c r="Q15" s="9" t="s">
        <v>84</v>
      </c>
      <c r="S15" s="11">
        <v>13000</v>
      </c>
      <c r="T15">
        <v>1200</v>
      </c>
      <c r="U15" s="12">
        <v>14200</v>
      </c>
      <c r="V15" s="11">
        <v>4400</v>
      </c>
      <c r="W15">
        <v>1100</v>
      </c>
      <c r="X15" s="13">
        <v>5500</v>
      </c>
      <c r="Y15" s="11">
        <v>11128</v>
      </c>
      <c r="Z15" s="14">
        <v>542</v>
      </c>
      <c r="AA15" s="15">
        <v>11670.239999999998</v>
      </c>
      <c r="AB15">
        <v>0</v>
      </c>
      <c r="AC15">
        <v>0</v>
      </c>
      <c r="AD15">
        <v>0</v>
      </c>
      <c r="AE15" s="16">
        <v>1800</v>
      </c>
      <c r="AF15" s="14">
        <v>0</v>
      </c>
      <c r="AG15" s="17">
        <v>1800</v>
      </c>
      <c r="AH15" s="16">
        <v>538.71999999999991</v>
      </c>
      <c r="AI15" s="14">
        <v>57.720000000000027</v>
      </c>
      <c r="AJ15" s="18">
        <v>596.43999999999994</v>
      </c>
      <c r="AK15" s="16">
        <v>932.96</v>
      </c>
      <c r="AL15" s="14">
        <v>99.960000000000036</v>
      </c>
      <c r="AM15" s="18">
        <v>1032.92</v>
      </c>
      <c r="AN15" s="19">
        <v>0</v>
      </c>
      <c r="AO15" s="14">
        <v>0</v>
      </c>
      <c r="AP15" s="18">
        <v>0</v>
      </c>
      <c r="AQ15" s="16">
        <v>0</v>
      </c>
      <c r="AR15" s="14">
        <v>0</v>
      </c>
      <c r="AS15" s="18">
        <v>0</v>
      </c>
      <c r="AT15" s="19">
        <v>3271.68</v>
      </c>
      <c r="AU15" s="14">
        <v>157.68000000000029</v>
      </c>
      <c r="AV15" s="18">
        <v>3429.36</v>
      </c>
      <c r="AW15">
        <v>0</v>
      </c>
      <c r="AX15" s="20">
        <v>3000</v>
      </c>
      <c r="AY15">
        <v>0</v>
      </c>
      <c r="AZ15">
        <v>0</v>
      </c>
      <c r="BA15">
        <v>0</v>
      </c>
      <c r="BB15">
        <v>0</v>
      </c>
      <c r="BC15">
        <v>0</v>
      </c>
      <c r="BD15" s="26" t="s">
        <v>184</v>
      </c>
      <c r="BF15" s="11">
        <v>1000</v>
      </c>
      <c r="BG15">
        <v>0</v>
      </c>
      <c r="BH15" s="21">
        <v>1000</v>
      </c>
      <c r="BI15" s="11">
        <v>2500</v>
      </c>
      <c r="BJ15">
        <v>0</v>
      </c>
      <c r="BK15" s="21">
        <v>2500</v>
      </c>
      <c r="BL15" s="22">
        <v>0</v>
      </c>
      <c r="BM15" s="23">
        <v>0</v>
      </c>
      <c r="BN15" s="21">
        <v>0</v>
      </c>
      <c r="BO15" s="19">
        <v>0</v>
      </c>
      <c r="BP15">
        <v>0</v>
      </c>
      <c r="BQ15" s="24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s="7">
        <v>0</v>
      </c>
      <c r="BZ15">
        <v>0</v>
      </c>
      <c r="CA15" s="23">
        <v>0</v>
      </c>
      <c r="CB15" s="14">
        <v>4000</v>
      </c>
      <c r="CC15" s="14">
        <v>500</v>
      </c>
      <c r="CD15" s="14">
        <v>4500</v>
      </c>
    </row>
    <row r="16" spans="1:83" ht="19.2" customHeight="1" x14ac:dyDescent="0.3">
      <c r="A16">
        <v>22</v>
      </c>
      <c r="B16" t="s">
        <v>152</v>
      </c>
      <c r="C16" s="31" t="s">
        <v>164</v>
      </c>
      <c r="D16" t="s">
        <v>111</v>
      </c>
      <c r="E16" t="s">
        <v>178</v>
      </c>
      <c r="G16">
        <v>123</v>
      </c>
      <c r="J16" t="s">
        <v>106</v>
      </c>
      <c r="K16" t="s">
        <v>115</v>
      </c>
      <c r="L16" t="s">
        <v>116</v>
      </c>
      <c r="N16">
        <v>13500</v>
      </c>
      <c r="O16" s="7">
        <v>0</v>
      </c>
      <c r="P16" s="7">
        <v>0</v>
      </c>
      <c r="Q16" s="9" t="s">
        <v>88</v>
      </c>
      <c r="S16" s="11">
        <v>7400</v>
      </c>
      <c r="T16">
        <v>1600</v>
      </c>
      <c r="U16" s="12">
        <v>9000</v>
      </c>
      <c r="V16" s="11">
        <v>3000</v>
      </c>
      <c r="W16">
        <v>1500</v>
      </c>
      <c r="X16" s="13">
        <v>4500</v>
      </c>
      <c r="Y16" s="11">
        <v>8307</v>
      </c>
      <c r="Z16" s="14">
        <v>1372</v>
      </c>
      <c r="AA16" s="15">
        <v>9678.5974999999999</v>
      </c>
      <c r="AB16">
        <v>0</v>
      </c>
      <c r="AC16">
        <v>0</v>
      </c>
      <c r="AD16">
        <v>0</v>
      </c>
      <c r="AE16" s="16">
        <v>1800</v>
      </c>
      <c r="AF16" s="14">
        <v>0</v>
      </c>
      <c r="AG16" s="17">
        <v>1800</v>
      </c>
      <c r="AH16" s="16">
        <v>365.56</v>
      </c>
      <c r="AI16" s="14">
        <v>76.95999999999998</v>
      </c>
      <c r="AJ16" s="18">
        <v>442.52</v>
      </c>
      <c r="AK16" s="16">
        <v>633.08000000000004</v>
      </c>
      <c r="AL16" s="14">
        <v>133.27999999999997</v>
      </c>
      <c r="AM16" s="18">
        <v>766.36</v>
      </c>
      <c r="AN16" s="19">
        <v>0</v>
      </c>
      <c r="AO16" s="14">
        <v>0</v>
      </c>
      <c r="AP16" s="18">
        <v>0</v>
      </c>
      <c r="AQ16" s="16">
        <v>141.80249999999998</v>
      </c>
      <c r="AR16">
        <v>0</v>
      </c>
      <c r="AS16" s="14">
        <v>141.80250000000001</v>
      </c>
      <c r="AT16" s="19">
        <v>9263.1175000000003</v>
      </c>
      <c r="AU16" s="14">
        <v>404.23749999999899</v>
      </c>
      <c r="AV16" s="18">
        <v>8858.880000000001</v>
      </c>
      <c r="AW16">
        <v>0</v>
      </c>
      <c r="AX16" s="20">
        <v>4067</v>
      </c>
      <c r="AY16">
        <v>0</v>
      </c>
      <c r="AZ16">
        <v>0</v>
      </c>
      <c r="BA16">
        <v>0</v>
      </c>
      <c r="BB16">
        <v>0</v>
      </c>
      <c r="BC16">
        <v>0</v>
      </c>
      <c r="BD16" s="26" t="s">
        <v>184</v>
      </c>
      <c r="BF16" s="11">
        <v>700</v>
      </c>
      <c r="BG16">
        <v>0</v>
      </c>
      <c r="BH16" s="21">
        <v>700</v>
      </c>
      <c r="BI16" s="11">
        <v>2400</v>
      </c>
      <c r="BJ16">
        <v>0</v>
      </c>
      <c r="BK16" s="21">
        <v>2400</v>
      </c>
      <c r="BL16" s="22">
        <v>0</v>
      </c>
      <c r="BM16" s="23">
        <v>0</v>
      </c>
      <c r="BN16" s="21">
        <v>0</v>
      </c>
      <c r="BO16" s="19">
        <v>4500</v>
      </c>
      <c r="BP16">
        <v>0</v>
      </c>
      <c r="BQ16" s="24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s="7">
        <v>0</v>
      </c>
      <c r="BZ16">
        <v>0</v>
      </c>
      <c r="CA16" s="23">
        <v>0</v>
      </c>
      <c r="CB16" s="14">
        <v>4000</v>
      </c>
      <c r="CC16" s="14">
        <v>500</v>
      </c>
      <c r="CD16" s="14">
        <v>4500</v>
      </c>
    </row>
    <row r="17" spans="1:82" ht="19.2" customHeight="1" x14ac:dyDescent="0.3">
      <c r="A17">
        <v>23</v>
      </c>
      <c r="B17" t="s">
        <v>153</v>
      </c>
      <c r="C17" s="31" t="s">
        <v>165</v>
      </c>
      <c r="D17" t="s">
        <v>130</v>
      </c>
      <c r="E17" t="s">
        <v>179</v>
      </c>
      <c r="G17">
        <v>221</v>
      </c>
      <c r="J17" t="s">
        <v>107</v>
      </c>
      <c r="K17" t="s">
        <v>141</v>
      </c>
      <c r="L17" t="s">
        <v>142</v>
      </c>
      <c r="N17">
        <v>95050</v>
      </c>
      <c r="O17" s="7">
        <v>35</v>
      </c>
      <c r="P17" s="7">
        <v>0</v>
      </c>
      <c r="Q17" s="9" t="s">
        <v>84</v>
      </c>
      <c r="S17" s="11">
        <v>7000</v>
      </c>
      <c r="T17">
        <v>400</v>
      </c>
      <c r="U17" s="12">
        <v>7400</v>
      </c>
      <c r="V17" s="11">
        <v>3000</v>
      </c>
      <c r="W17">
        <v>800</v>
      </c>
      <c r="X17" s="13">
        <v>3800</v>
      </c>
      <c r="Y17" s="11">
        <v>9473</v>
      </c>
      <c r="Z17" s="14">
        <v>1044</v>
      </c>
      <c r="AA17" s="15">
        <v>10517.392500000002</v>
      </c>
      <c r="AB17">
        <v>0</v>
      </c>
      <c r="AC17">
        <v>0</v>
      </c>
      <c r="AD17">
        <v>0</v>
      </c>
      <c r="AE17" s="16">
        <v>1800</v>
      </c>
      <c r="AF17" s="14">
        <v>0</v>
      </c>
      <c r="AG17" s="17">
        <v>1800</v>
      </c>
      <c r="AH17" s="16">
        <v>360.75</v>
      </c>
      <c r="AI17" s="14">
        <v>38.479999999999961</v>
      </c>
      <c r="AJ17" s="18">
        <v>399.22999999999996</v>
      </c>
      <c r="AK17" s="16">
        <v>624.75</v>
      </c>
      <c r="AL17" s="14">
        <v>66.639999999999986</v>
      </c>
      <c r="AM17" s="18">
        <v>691.39</v>
      </c>
      <c r="AN17" s="19">
        <v>0</v>
      </c>
      <c r="AO17" s="14">
        <v>0</v>
      </c>
      <c r="AP17" s="18">
        <v>0</v>
      </c>
      <c r="AQ17" s="16">
        <v>149.79749999999999</v>
      </c>
      <c r="AR17">
        <v>0</v>
      </c>
      <c r="AS17" s="14">
        <v>149.79750000000001</v>
      </c>
      <c r="AT17" s="19">
        <v>3434.6224999999999</v>
      </c>
      <c r="AU17" s="14">
        <v>544.00250000000005</v>
      </c>
      <c r="AV17" s="18">
        <v>2890.62</v>
      </c>
      <c r="AW17">
        <v>0</v>
      </c>
      <c r="AX17" s="20">
        <v>2100</v>
      </c>
      <c r="AY17">
        <v>0</v>
      </c>
      <c r="AZ17">
        <v>0</v>
      </c>
      <c r="BA17">
        <v>0</v>
      </c>
      <c r="BB17">
        <v>0</v>
      </c>
      <c r="BC17">
        <v>0</v>
      </c>
      <c r="BD17" s="26" t="s">
        <v>184</v>
      </c>
      <c r="BF17" s="11">
        <v>1000</v>
      </c>
      <c r="BG17">
        <v>0</v>
      </c>
      <c r="BH17" s="21">
        <v>1000</v>
      </c>
      <c r="BI17" s="11">
        <v>1600</v>
      </c>
      <c r="BJ17">
        <v>0</v>
      </c>
      <c r="BK17" s="21">
        <v>1600</v>
      </c>
      <c r="BL17" s="22">
        <v>0</v>
      </c>
      <c r="BM17" s="23">
        <v>0</v>
      </c>
      <c r="BN17" s="21">
        <v>0</v>
      </c>
      <c r="BO17" s="19">
        <v>0</v>
      </c>
      <c r="BP17">
        <v>0</v>
      </c>
      <c r="BQ17" s="24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s="7">
        <v>0</v>
      </c>
      <c r="BZ17">
        <v>0</v>
      </c>
      <c r="CA17" s="23">
        <v>0</v>
      </c>
      <c r="CB17" s="14">
        <v>4000</v>
      </c>
      <c r="CC17" s="14">
        <v>500</v>
      </c>
      <c r="CD17" s="14">
        <v>4500</v>
      </c>
    </row>
    <row r="18" spans="1:82" ht="19.2" customHeight="1" x14ac:dyDescent="0.3">
      <c r="A18">
        <v>24</v>
      </c>
      <c r="B18" t="s">
        <v>154</v>
      </c>
      <c r="C18" s="31" t="s">
        <v>166</v>
      </c>
      <c r="D18" t="s">
        <v>122</v>
      </c>
      <c r="E18" t="s">
        <v>179</v>
      </c>
      <c r="G18">
        <v>324</v>
      </c>
      <c r="I18" t="s">
        <v>124</v>
      </c>
      <c r="J18" t="s">
        <v>107</v>
      </c>
      <c r="K18" t="s">
        <v>115</v>
      </c>
      <c r="L18" t="s">
        <v>116</v>
      </c>
      <c r="N18">
        <v>15001</v>
      </c>
      <c r="O18" s="7">
        <v>0</v>
      </c>
      <c r="P18" s="7">
        <v>0</v>
      </c>
      <c r="Q18" s="9" t="s">
        <v>101</v>
      </c>
      <c r="S18" s="11">
        <v>18000</v>
      </c>
      <c r="T18">
        <v>2000</v>
      </c>
      <c r="U18" s="12">
        <v>20000</v>
      </c>
      <c r="V18" s="11">
        <v>15000</v>
      </c>
      <c r="W18">
        <v>1000</v>
      </c>
      <c r="X18" s="13">
        <v>16000</v>
      </c>
      <c r="Y18" s="11">
        <v>5235</v>
      </c>
      <c r="Z18" s="14">
        <v>456</v>
      </c>
      <c r="AA18" s="15">
        <v>5690.5019999999977</v>
      </c>
      <c r="AB18">
        <v>0</v>
      </c>
      <c r="AC18">
        <v>0</v>
      </c>
      <c r="AD18">
        <v>0</v>
      </c>
      <c r="AE18" s="16">
        <v>1800</v>
      </c>
      <c r="AF18" s="14">
        <v>0</v>
      </c>
      <c r="AG18" s="17">
        <v>1800</v>
      </c>
      <c r="AH18" s="16">
        <v>865.8</v>
      </c>
      <c r="AI18" s="14">
        <v>52.909999999999968</v>
      </c>
      <c r="AJ18" s="18">
        <v>918.70999999999992</v>
      </c>
      <c r="AK18" s="16">
        <v>1499.4</v>
      </c>
      <c r="AL18" s="14">
        <v>91.629999999999882</v>
      </c>
      <c r="AM18" s="18">
        <v>1591.03</v>
      </c>
      <c r="AN18" s="19">
        <v>0</v>
      </c>
      <c r="AO18" s="14">
        <v>0</v>
      </c>
      <c r="AP18" s="18">
        <v>0</v>
      </c>
      <c r="AQ18" s="16">
        <v>0</v>
      </c>
      <c r="AR18" s="14">
        <v>0</v>
      </c>
      <c r="AS18" s="18">
        <v>0</v>
      </c>
      <c r="AT18" s="19">
        <v>4165.2000000000007</v>
      </c>
      <c r="AU18" s="14">
        <v>144.53999999999905</v>
      </c>
      <c r="AV18" s="18">
        <v>4309.74</v>
      </c>
      <c r="AW18">
        <v>0</v>
      </c>
      <c r="AX18" s="20">
        <v>2700.0119999999997</v>
      </c>
      <c r="AY18">
        <v>0</v>
      </c>
      <c r="AZ18">
        <v>0</v>
      </c>
      <c r="BA18">
        <v>0</v>
      </c>
      <c r="BB18">
        <v>0</v>
      </c>
      <c r="BC18">
        <v>0</v>
      </c>
      <c r="BD18" s="26" t="s">
        <v>149</v>
      </c>
      <c r="BF18" s="11">
        <v>1000</v>
      </c>
      <c r="BG18">
        <v>0</v>
      </c>
      <c r="BH18" s="21">
        <v>1000</v>
      </c>
      <c r="BI18" s="11">
        <v>1600</v>
      </c>
      <c r="BJ18">
        <v>0</v>
      </c>
      <c r="BK18" s="21">
        <v>1600</v>
      </c>
      <c r="BL18" s="22">
        <v>0</v>
      </c>
      <c r="BM18" s="23">
        <v>0</v>
      </c>
      <c r="BN18" s="21">
        <v>0</v>
      </c>
      <c r="BO18" s="19">
        <v>0</v>
      </c>
      <c r="BP18">
        <v>0</v>
      </c>
      <c r="BQ18" s="24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s="7">
        <v>0</v>
      </c>
      <c r="BZ18">
        <v>0</v>
      </c>
      <c r="CA18" s="23">
        <v>0</v>
      </c>
      <c r="CB18" s="14">
        <v>4000</v>
      </c>
      <c r="CC18" s="14">
        <v>500</v>
      </c>
      <c r="CD18" s="14">
        <v>4500</v>
      </c>
    </row>
    <row r="19" spans="1:82" ht="19.2" customHeight="1" x14ac:dyDescent="0.3">
      <c r="A19">
        <v>25</v>
      </c>
      <c r="B19" t="s">
        <v>155</v>
      </c>
      <c r="C19" s="31" t="s">
        <v>167</v>
      </c>
      <c r="D19" t="s">
        <v>99</v>
      </c>
      <c r="E19" t="s">
        <v>180</v>
      </c>
      <c r="G19">
        <v>24</v>
      </c>
      <c r="J19" t="s">
        <v>106</v>
      </c>
      <c r="K19" t="s">
        <v>147</v>
      </c>
      <c r="L19" t="s">
        <v>142</v>
      </c>
      <c r="N19">
        <v>15601</v>
      </c>
      <c r="O19" s="10">
        <v>25</v>
      </c>
      <c r="P19" s="10">
        <v>0</v>
      </c>
      <c r="Q19" s="9" t="s">
        <v>108</v>
      </c>
      <c r="S19" s="11">
        <v>6500</v>
      </c>
      <c r="T19">
        <v>400</v>
      </c>
      <c r="U19" s="12">
        <v>6900</v>
      </c>
      <c r="V19" s="11">
        <v>5500</v>
      </c>
      <c r="W19">
        <v>200</v>
      </c>
      <c r="X19" s="13">
        <v>5700</v>
      </c>
      <c r="Y19" s="11">
        <v>3736</v>
      </c>
      <c r="Z19" s="14">
        <v>36</v>
      </c>
      <c r="AA19" s="15">
        <v>3771.8100000000018</v>
      </c>
      <c r="AB19">
        <v>0</v>
      </c>
      <c r="AC19">
        <v>0</v>
      </c>
      <c r="AD19">
        <v>0</v>
      </c>
      <c r="AE19" s="16">
        <v>1480.32</v>
      </c>
      <c r="AF19" s="14">
        <v>36</v>
      </c>
      <c r="AG19" s="17">
        <v>1516.32</v>
      </c>
      <c r="AH19" s="16">
        <v>288.59999999999997</v>
      </c>
      <c r="AI19" s="14">
        <v>14.430000000000007</v>
      </c>
      <c r="AJ19" s="18">
        <v>303.02999999999997</v>
      </c>
      <c r="AK19" s="16">
        <v>499.8</v>
      </c>
      <c r="AL19" s="14">
        <v>24.989999999999952</v>
      </c>
      <c r="AM19" s="18">
        <v>524.79</v>
      </c>
      <c r="AN19" s="19">
        <v>0</v>
      </c>
      <c r="AO19" s="14">
        <v>0</v>
      </c>
      <c r="AP19" s="18">
        <v>0</v>
      </c>
      <c r="AQ19" s="16">
        <v>114.27</v>
      </c>
      <c r="AR19" s="14">
        <v>3.730000000000004</v>
      </c>
      <c r="AS19" s="18">
        <v>118</v>
      </c>
      <c r="AT19" s="19">
        <v>5753.89</v>
      </c>
      <c r="AU19" s="14">
        <v>91.669999999999163</v>
      </c>
      <c r="AV19" s="18">
        <v>5845.5599999999995</v>
      </c>
      <c r="AW19">
        <v>0</v>
      </c>
      <c r="AX19" s="20">
        <v>633</v>
      </c>
      <c r="AY19">
        <v>0</v>
      </c>
      <c r="AZ19">
        <v>0</v>
      </c>
      <c r="BA19">
        <v>0</v>
      </c>
      <c r="BB19">
        <v>0</v>
      </c>
      <c r="BC19">
        <v>0</v>
      </c>
      <c r="BD19" s="26" t="s">
        <v>184</v>
      </c>
      <c r="BF19" s="11">
        <v>1000</v>
      </c>
      <c r="BG19">
        <v>0</v>
      </c>
      <c r="BH19" s="21">
        <v>1000</v>
      </c>
      <c r="BI19" s="11">
        <v>1600</v>
      </c>
      <c r="BJ19">
        <v>0</v>
      </c>
      <c r="BK19" s="21">
        <v>1600</v>
      </c>
      <c r="BL19" s="22">
        <v>0</v>
      </c>
      <c r="BM19" s="23">
        <v>0</v>
      </c>
      <c r="BN19" s="21">
        <v>0</v>
      </c>
      <c r="BO19" s="19">
        <v>2300</v>
      </c>
      <c r="BP19">
        <v>0</v>
      </c>
      <c r="BQ19" s="24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s="7">
        <v>0</v>
      </c>
      <c r="BZ19">
        <v>0</v>
      </c>
      <c r="CA19" s="23">
        <v>0</v>
      </c>
      <c r="CB19" s="14">
        <v>4000</v>
      </c>
      <c r="CC19" s="14">
        <v>500</v>
      </c>
      <c r="CD19" s="14">
        <v>4500</v>
      </c>
    </row>
    <row r="20" spans="1:82" ht="19.2" customHeight="1" x14ac:dyDescent="0.3">
      <c r="A20">
        <v>26</v>
      </c>
      <c r="B20" t="s">
        <v>156</v>
      </c>
      <c r="C20" s="31" t="s">
        <v>168</v>
      </c>
      <c r="D20" t="s">
        <v>176</v>
      </c>
      <c r="E20" t="s">
        <v>181</v>
      </c>
      <c r="G20">
        <v>99</v>
      </c>
      <c r="J20" t="s">
        <v>107</v>
      </c>
      <c r="K20" t="s">
        <v>115</v>
      </c>
      <c r="L20" t="s">
        <v>116</v>
      </c>
      <c r="N20">
        <v>16001</v>
      </c>
      <c r="O20" s="30">
        <v>9</v>
      </c>
      <c r="P20" s="30">
        <v>32.355459740057114</v>
      </c>
      <c r="Q20" s="23" t="s">
        <v>88</v>
      </c>
      <c r="S20">
        <v>4000</v>
      </c>
      <c r="T20">
        <v>400</v>
      </c>
      <c r="U20">
        <v>4400</v>
      </c>
      <c r="V20">
        <v>3500</v>
      </c>
      <c r="W20">
        <v>200</v>
      </c>
      <c r="X20">
        <v>3700</v>
      </c>
      <c r="Y20">
        <v>1021</v>
      </c>
      <c r="Z20">
        <v>266</v>
      </c>
      <c r="AA20">
        <v>1287</v>
      </c>
      <c r="AB20">
        <v>0</v>
      </c>
      <c r="AC20">
        <v>0</v>
      </c>
      <c r="AD20">
        <v>0</v>
      </c>
      <c r="AE20">
        <v>855</v>
      </c>
      <c r="AF20">
        <v>79</v>
      </c>
      <c r="AG20">
        <v>934</v>
      </c>
      <c r="AH20">
        <v>192</v>
      </c>
      <c r="AI20">
        <v>20</v>
      </c>
      <c r="AJ20">
        <v>212</v>
      </c>
      <c r="AK20">
        <v>333</v>
      </c>
      <c r="AL20">
        <v>34</v>
      </c>
      <c r="AM20">
        <v>367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10621</v>
      </c>
      <c r="AU20">
        <v>866</v>
      </c>
      <c r="AV20">
        <v>11487</v>
      </c>
      <c r="AW20">
        <v>12001</v>
      </c>
      <c r="AX20">
        <v>3883</v>
      </c>
      <c r="AY20">
        <v>1000</v>
      </c>
      <c r="AZ20">
        <v>13000</v>
      </c>
      <c r="BA20">
        <v>144012</v>
      </c>
      <c r="BB20">
        <v>12000</v>
      </c>
      <c r="BC20">
        <v>156000</v>
      </c>
      <c r="BD20" s="26" t="s">
        <v>184</v>
      </c>
      <c r="BF20">
        <v>500</v>
      </c>
      <c r="BG20">
        <v>0</v>
      </c>
      <c r="BH20">
        <v>500</v>
      </c>
      <c r="BI20">
        <v>1600</v>
      </c>
      <c r="BJ20">
        <v>0</v>
      </c>
      <c r="BK20">
        <v>1600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1380</v>
      </c>
      <c r="BS20">
        <v>133</v>
      </c>
      <c r="BT20">
        <v>1513</v>
      </c>
      <c r="BU20">
        <v>10</v>
      </c>
      <c r="BV20">
        <v>10</v>
      </c>
      <c r="BW20">
        <v>20</v>
      </c>
      <c r="BX20">
        <v>0</v>
      </c>
      <c r="BY20" s="30">
        <v>0</v>
      </c>
      <c r="BZ20">
        <v>0</v>
      </c>
      <c r="CA20" s="23">
        <v>10</v>
      </c>
      <c r="CB20" s="23">
        <v>15</v>
      </c>
      <c r="CC20" s="23">
        <v>5</v>
      </c>
      <c r="CD20" s="23">
        <v>20</v>
      </c>
    </row>
    <row r="21" spans="1:82" ht="19.2" customHeight="1" x14ac:dyDescent="0.3">
      <c r="A21">
        <v>27</v>
      </c>
      <c r="B21" t="s">
        <v>157</v>
      </c>
      <c r="C21" s="31" t="s">
        <v>169</v>
      </c>
      <c r="D21" t="s">
        <v>122</v>
      </c>
      <c r="E21" t="s">
        <v>179</v>
      </c>
      <c r="G21">
        <v>153</v>
      </c>
      <c r="I21" t="s">
        <v>124</v>
      </c>
      <c r="J21" t="s">
        <v>107</v>
      </c>
      <c r="K21" t="s">
        <v>125</v>
      </c>
      <c r="L21" t="s">
        <v>126</v>
      </c>
      <c r="N21">
        <v>17001</v>
      </c>
      <c r="O21" s="30">
        <v>9.5</v>
      </c>
      <c r="P21" s="30">
        <v>32.355459740057114</v>
      </c>
      <c r="Q21" s="23" t="s">
        <v>101</v>
      </c>
      <c r="S21">
        <v>4300</v>
      </c>
      <c r="T21">
        <v>410</v>
      </c>
      <c r="U21">
        <v>4710</v>
      </c>
      <c r="V21">
        <v>3500</v>
      </c>
      <c r="W21">
        <v>200</v>
      </c>
      <c r="X21">
        <v>3700</v>
      </c>
      <c r="Y21">
        <v>1021</v>
      </c>
      <c r="Z21">
        <v>266</v>
      </c>
      <c r="AA21">
        <v>1287</v>
      </c>
      <c r="AB21">
        <v>0</v>
      </c>
      <c r="AC21">
        <v>0</v>
      </c>
      <c r="AD21">
        <v>0</v>
      </c>
      <c r="AE21">
        <v>855</v>
      </c>
      <c r="AF21">
        <v>79</v>
      </c>
      <c r="AG21">
        <v>934</v>
      </c>
      <c r="AH21">
        <v>285</v>
      </c>
      <c r="AI21">
        <v>20</v>
      </c>
      <c r="AJ21">
        <v>305</v>
      </c>
      <c r="AK21">
        <v>333</v>
      </c>
      <c r="AL21">
        <v>34</v>
      </c>
      <c r="AM21">
        <v>367</v>
      </c>
      <c r="AN21">
        <v>0</v>
      </c>
      <c r="AO21">
        <v>0</v>
      </c>
      <c r="AP21">
        <v>0</v>
      </c>
      <c r="AQ21">
        <v>100</v>
      </c>
      <c r="AR21">
        <v>10</v>
      </c>
      <c r="AS21">
        <v>110</v>
      </c>
      <c r="AT21">
        <v>10621</v>
      </c>
      <c r="AU21">
        <v>866</v>
      </c>
      <c r="AV21">
        <v>11487</v>
      </c>
      <c r="AW21">
        <v>12001</v>
      </c>
      <c r="AX21">
        <v>3883</v>
      </c>
      <c r="AY21">
        <v>1000</v>
      </c>
      <c r="AZ21">
        <v>13000</v>
      </c>
      <c r="BA21">
        <v>144012</v>
      </c>
      <c r="BB21">
        <v>12000</v>
      </c>
      <c r="BC21">
        <v>156000</v>
      </c>
      <c r="BD21" s="26" t="s">
        <v>184</v>
      </c>
      <c r="BF21">
        <v>500</v>
      </c>
      <c r="BG21">
        <v>0</v>
      </c>
      <c r="BH21">
        <v>500</v>
      </c>
      <c r="BI21">
        <v>1600</v>
      </c>
      <c r="BJ21">
        <v>0</v>
      </c>
      <c r="BK21">
        <v>1600</v>
      </c>
      <c r="BL21">
        <v>0</v>
      </c>
      <c r="BM21">
        <v>0</v>
      </c>
      <c r="BN21">
        <v>0</v>
      </c>
      <c r="BO21">
        <v>100</v>
      </c>
      <c r="BP21">
        <v>20</v>
      </c>
      <c r="BQ21">
        <v>120</v>
      </c>
      <c r="BR21">
        <v>1380</v>
      </c>
      <c r="BS21">
        <v>133</v>
      </c>
      <c r="BT21">
        <v>1513</v>
      </c>
      <c r="BU21">
        <v>10</v>
      </c>
      <c r="BV21">
        <v>10</v>
      </c>
      <c r="BW21">
        <v>20</v>
      </c>
      <c r="BX21">
        <v>0</v>
      </c>
      <c r="BY21" s="30">
        <v>10</v>
      </c>
      <c r="BZ21">
        <v>50</v>
      </c>
      <c r="CA21" s="23">
        <v>10</v>
      </c>
      <c r="CB21" s="23">
        <v>0</v>
      </c>
      <c r="CC21" s="23">
        <v>0</v>
      </c>
      <c r="CD21" s="23">
        <v>0</v>
      </c>
    </row>
    <row r="22" spans="1:82" ht="19.2" customHeight="1" x14ac:dyDescent="0.3">
      <c r="A22">
        <v>28</v>
      </c>
      <c r="B22" t="s">
        <v>158</v>
      </c>
      <c r="C22" s="31" t="s">
        <v>170</v>
      </c>
      <c r="D22" t="s">
        <v>95</v>
      </c>
      <c r="E22" t="s">
        <v>181</v>
      </c>
      <c r="G22">
        <v>215</v>
      </c>
      <c r="J22" t="s">
        <v>106</v>
      </c>
      <c r="K22" t="s">
        <v>141</v>
      </c>
      <c r="L22" t="s">
        <v>116</v>
      </c>
      <c r="N22">
        <v>85050</v>
      </c>
      <c r="O22" s="30">
        <v>25</v>
      </c>
      <c r="P22" s="30">
        <v>28</v>
      </c>
      <c r="Q22" s="23" t="s">
        <v>84</v>
      </c>
      <c r="S22" s="23">
        <v>17000</v>
      </c>
      <c r="T22" s="23">
        <v>6000</v>
      </c>
      <c r="U22" s="23">
        <v>23000</v>
      </c>
      <c r="V22" s="23">
        <v>8500</v>
      </c>
      <c r="W22" s="23">
        <v>3000</v>
      </c>
      <c r="X22" s="23">
        <v>11500</v>
      </c>
      <c r="Y22" s="23">
        <v>6800</v>
      </c>
      <c r="Z22" s="23">
        <v>4200</v>
      </c>
      <c r="AA22" s="23">
        <v>11000</v>
      </c>
      <c r="AB22" s="23">
        <v>0</v>
      </c>
      <c r="AC22" s="23">
        <v>0</v>
      </c>
      <c r="AD22" s="23">
        <v>0</v>
      </c>
      <c r="AE22">
        <v>1800</v>
      </c>
      <c r="AF22">
        <v>0</v>
      </c>
      <c r="AG22">
        <v>1800</v>
      </c>
      <c r="AH22">
        <v>817.7</v>
      </c>
      <c r="AI22">
        <v>288.60000000000002</v>
      </c>
      <c r="AJ22">
        <v>1106.3</v>
      </c>
      <c r="AK22">
        <v>1417</v>
      </c>
      <c r="AL22">
        <v>500</v>
      </c>
      <c r="AM22">
        <v>1917</v>
      </c>
      <c r="AN22">
        <v>4500</v>
      </c>
      <c r="AO22">
        <v>2000</v>
      </c>
      <c r="AP22">
        <v>6500</v>
      </c>
      <c r="AQ22">
        <v>0</v>
      </c>
      <c r="AR22">
        <v>0</v>
      </c>
      <c r="AS22">
        <v>0</v>
      </c>
      <c r="AT22">
        <v>85000</v>
      </c>
      <c r="AU22">
        <v>16565</v>
      </c>
      <c r="AV22">
        <v>101565</v>
      </c>
      <c r="AW22">
        <v>120000</v>
      </c>
      <c r="AX22">
        <v>4800</v>
      </c>
      <c r="AY22">
        <v>28500</v>
      </c>
      <c r="AZ22">
        <v>16800</v>
      </c>
      <c r="BA22">
        <v>44444</v>
      </c>
      <c r="BB22">
        <v>95630</v>
      </c>
      <c r="BC22">
        <f>BB22*12</f>
        <v>1147560</v>
      </c>
      <c r="BD22" s="26" t="s">
        <v>184</v>
      </c>
      <c r="BF22">
        <v>850</v>
      </c>
      <c r="BG22">
        <v>60</v>
      </c>
      <c r="BH22">
        <v>910</v>
      </c>
      <c r="BI22">
        <v>2500</v>
      </c>
      <c r="BJ22">
        <v>300</v>
      </c>
      <c r="BK22">
        <v>2800</v>
      </c>
      <c r="BL22">
        <v>5500</v>
      </c>
      <c r="BM22">
        <v>600</v>
      </c>
      <c r="BN22">
        <v>6100</v>
      </c>
      <c r="BO22">
        <v>4500</v>
      </c>
      <c r="BP22">
        <v>300</v>
      </c>
      <c r="BQ22">
        <v>4800</v>
      </c>
      <c r="BR22">
        <v>11111</v>
      </c>
      <c r="BS22">
        <v>222</v>
      </c>
      <c r="BT22">
        <v>666666</v>
      </c>
      <c r="BU22">
        <v>7777</v>
      </c>
      <c r="BV22">
        <v>4646</v>
      </c>
      <c r="BW22">
        <v>4545</v>
      </c>
      <c r="BX22">
        <v>3030</v>
      </c>
      <c r="BY22" s="30">
        <v>6060</v>
      </c>
      <c r="BZ22">
        <v>5050</v>
      </c>
      <c r="CA22" s="23">
        <v>5151</v>
      </c>
      <c r="CB22" s="23">
        <v>0</v>
      </c>
      <c r="CC22" s="23">
        <v>0</v>
      </c>
      <c r="CD22" s="23">
        <v>0</v>
      </c>
    </row>
    <row r="23" spans="1:82" ht="19.2" customHeight="1" x14ac:dyDescent="0.3">
      <c r="A23">
        <v>29</v>
      </c>
      <c r="B23" t="s">
        <v>159</v>
      </c>
      <c r="C23" s="31" t="s">
        <v>171</v>
      </c>
      <c r="D23" t="s">
        <v>130</v>
      </c>
      <c r="E23" t="s">
        <v>182</v>
      </c>
      <c r="G23">
        <v>111</v>
      </c>
      <c r="J23" t="s">
        <v>107</v>
      </c>
      <c r="K23" t="s">
        <v>136</v>
      </c>
      <c r="L23" t="s">
        <v>126</v>
      </c>
      <c r="N23" s="8">
        <v>38000</v>
      </c>
      <c r="O23" s="30">
        <v>9</v>
      </c>
      <c r="P23" s="30">
        <v>32.355459740057114</v>
      </c>
      <c r="Q23" s="23" t="s">
        <v>101</v>
      </c>
      <c r="S23">
        <v>4000</v>
      </c>
      <c r="T23">
        <v>400</v>
      </c>
      <c r="U23">
        <v>4400</v>
      </c>
      <c r="V23">
        <v>3500</v>
      </c>
      <c r="W23">
        <v>200</v>
      </c>
      <c r="X23">
        <v>3700</v>
      </c>
      <c r="Y23">
        <v>1021</v>
      </c>
      <c r="Z23">
        <v>266</v>
      </c>
      <c r="AA23">
        <v>1287</v>
      </c>
      <c r="AB23">
        <v>0</v>
      </c>
      <c r="AC23">
        <v>0</v>
      </c>
      <c r="AD23">
        <v>0</v>
      </c>
      <c r="AE23">
        <v>855</v>
      </c>
      <c r="AF23">
        <v>79</v>
      </c>
      <c r="AG23">
        <v>934</v>
      </c>
      <c r="AH23">
        <v>192</v>
      </c>
      <c r="AI23">
        <v>20</v>
      </c>
      <c r="AJ23">
        <v>212</v>
      </c>
      <c r="AK23">
        <v>333</v>
      </c>
      <c r="AL23">
        <v>34</v>
      </c>
      <c r="AM23">
        <v>367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10621</v>
      </c>
      <c r="AU23">
        <v>866</v>
      </c>
      <c r="AV23">
        <v>11487</v>
      </c>
      <c r="AW23">
        <v>12001</v>
      </c>
      <c r="AX23">
        <v>3883</v>
      </c>
      <c r="AY23">
        <v>1000</v>
      </c>
      <c r="AZ23">
        <v>13000</v>
      </c>
      <c r="BA23">
        <v>144012</v>
      </c>
      <c r="BB23">
        <v>12000</v>
      </c>
      <c r="BC23">
        <v>156000</v>
      </c>
      <c r="BD23" s="26" t="s">
        <v>149</v>
      </c>
      <c r="BF23">
        <v>500</v>
      </c>
      <c r="BG23">
        <v>0</v>
      </c>
      <c r="BH23">
        <v>500</v>
      </c>
      <c r="BI23">
        <v>1600</v>
      </c>
      <c r="BJ23">
        <v>0</v>
      </c>
      <c r="BK23">
        <v>1600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1380</v>
      </c>
      <c r="BS23">
        <v>133</v>
      </c>
      <c r="BT23">
        <v>1513</v>
      </c>
      <c r="BU23">
        <v>10</v>
      </c>
      <c r="BV23">
        <v>10</v>
      </c>
      <c r="BW23">
        <v>20</v>
      </c>
      <c r="BX23">
        <v>0</v>
      </c>
      <c r="BY23" s="30">
        <v>10</v>
      </c>
      <c r="BZ23">
        <v>50</v>
      </c>
      <c r="CA23" s="23">
        <v>10</v>
      </c>
      <c r="CB23" s="23">
        <v>0</v>
      </c>
      <c r="CC23" s="23">
        <v>0</v>
      </c>
      <c r="CD23" s="23">
        <v>0</v>
      </c>
    </row>
    <row r="24" spans="1:82" ht="19.2" customHeight="1" x14ac:dyDescent="0.3">
      <c r="A24">
        <v>30</v>
      </c>
      <c r="B24" t="s">
        <v>160</v>
      </c>
      <c r="C24" s="31" t="s">
        <v>172</v>
      </c>
      <c r="D24" t="s">
        <v>176</v>
      </c>
      <c r="E24" t="s">
        <v>183</v>
      </c>
      <c r="G24">
        <v>123</v>
      </c>
      <c r="J24" t="s">
        <v>107</v>
      </c>
      <c r="K24" t="s">
        <v>125</v>
      </c>
      <c r="L24" t="s">
        <v>126</v>
      </c>
      <c r="N24" s="8">
        <v>24078</v>
      </c>
      <c r="O24" s="30">
        <v>9</v>
      </c>
      <c r="P24" s="30">
        <v>32.355459740057114</v>
      </c>
      <c r="Q24" s="23" t="s">
        <v>101</v>
      </c>
      <c r="S24">
        <v>4000</v>
      </c>
      <c r="T24">
        <v>400</v>
      </c>
      <c r="U24">
        <v>4400</v>
      </c>
      <c r="V24">
        <v>3500</v>
      </c>
      <c r="W24">
        <v>200</v>
      </c>
      <c r="X24">
        <v>3700</v>
      </c>
      <c r="Y24">
        <v>1021</v>
      </c>
      <c r="Z24">
        <v>266</v>
      </c>
      <c r="AA24">
        <v>1287</v>
      </c>
      <c r="AB24">
        <v>0</v>
      </c>
      <c r="AC24">
        <v>0</v>
      </c>
      <c r="AD24">
        <v>0</v>
      </c>
      <c r="AE24">
        <v>855</v>
      </c>
      <c r="AF24">
        <v>79</v>
      </c>
      <c r="AG24">
        <v>934</v>
      </c>
      <c r="AH24">
        <v>192</v>
      </c>
      <c r="AI24">
        <v>20</v>
      </c>
      <c r="AJ24">
        <v>212</v>
      </c>
      <c r="AK24">
        <v>333</v>
      </c>
      <c r="AL24">
        <v>34</v>
      </c>
      <c r="AM24">
        <v>367</v>
      </c>
      <c r="AN24">
        <v>0</v>
      </c>
      <c r="AO24">
        <v>0</v>
      </c>
      <c r="AP24">
        <v>0</v>
      </c>
      <c r="AQ24">
        <v>100</v>
      </c>
      <c r="AR24">
        <v>10</v>
      </c>
      <c r="AS24">
        <v>110</v>
      </c>
      <c r="AT24">
        <v>10621</v>
      </c>
      <c r="AU24">
        <v>866</v>
      </c>
      <c r="AV24">
        <v>11487</v>
      </c>
      <c r="AW24">
        <v>12001</v>
      </c>
      <c r="AX24">
        <v>3883</v>
      </c>
      <c r="AY24">
        <v>1000</v>
      </c>
      <c r="AZ24">
        <v>13000</v>
      </c>
      <c r="BA24">
        <v>144012</v>
      </c>
      <c r="BB24">
        <v>12000</v>
      </c>
      <c r="BC24">
        <v>156000</v>
      </c>
      <c r="BD24" s="26" t="s">
        <v>184</v>
      </c>
      <c r="BF24">
        <v>500</v>
      </c>
      <c r="BG24">
        <v>0</v>
      </c>
      <c r="BH24">
        <v>500</v>
      </c>
      <c r="BI24">
        <v>1600</v>
      </c>
      <c r="BJ24">
        <v>0</v>
      </c>
      <c r="BK24">
        <v>1600</v>
      </c>
      <c r="BL24">
        <v>0</v>
      </c>
      <c r="BM24">
        <v>0</v>
      </c>
      <c r="BN24">
        <v>0</v>
      </c>
      <c r="BO24">
        <v>100</v>
      </c>
      <c r="BP24">
        <v>20</v>
      </c>
      <c r="BQ24">
        <v>120</v>
      </c>
      <c r="BR24">
        <v>1380</v>
      </c>
      <c r="BS24">
        <v>133</v>
      </c>
      <c r="BT24">
        <v>1513</v>
      </c>
      <c r="BU24">
        <v>10</v>
      </c>
      <c r="BV24">
        <v>10</v>
      </c>
      <c r="BW24">
        <v>20</v>
      </c>
      <c r="BX24">
        <v>0</v>
      </c>
      <c r="BY24" s="30">
        <v>10</v>
      </c>
      <c r="BZ24">
        <v>50</v>
      </c>
      <c r="CA24" s="23">
        <v>10</v>
      </c>
      <c r="CB24" s="23">
        <v>0</v>
      </c>
      <c r="CC24" s="23">
        <v>0</v>
      </c>
      <c r="CD24" s="23">
        <v>0</v>
      </c>
    </row>
    <row r="25" spans="1:82" ht="19.2" customHeight="1" x14ac:dyDescent="0.3">
      <c r="A25">
        <v>31</v>
      </c>
      <c r="B25" t="s">
        <v>161</v>
      </c>
      <c r="C25" s="31" t="s">
        <v>173</v>
      </c>
      <c r="D25" t="s">
        <v>86</v>
      </c>
      <c r="E25" t="s">
        <v>183</v>
      </c>
      <c r="G25">
        <v>342</v>
      </c>
      <c r="J25" t="s">
        <v>107</v>
      </c>
      <c r="K25" t="s">
        <v>115</v>
      </c>
      <c r="L25" t="s">
        <v>116</v>
      </c>
      <c r="N25" s="8">
        <v>28107.622500000001</v>
      </c>
      <c r="O25" s="30">
        <v>10</v>
      </c>
      <c r="P25" s="30">
        <v>32.355459740057114</v>
      </c>
      <c r="Q25" s="23" t="s">
        <v>101</v>
      </c>
      <c r="S25">
        <v>4000</v>
      </c>
      <c r="T25">
        <v>400</v>
      </c>
      <c r="U25">
        <v>4400</v>
      </c>
      <c r="V25">
        <v>3500</v>
      </c>
      <c r="W25">
        <v>200</v>
      </c>
      <c r="X25">
        <v>3700</v>
      </c>
      <c r="Y25">
        <v>1021</v>
      </c>
      <c r="Z25">
        <v>266</v>
      </c>
      <c r="AA25">
        <v>1287</v>
      </c>
      <c r="AB25">
        <v>0</v>
      </c>
      <c r="AC25">
        <v>0</v>
      </c>
      <c r="AD25">
        <v>0</v>
      </c>
      <c r="AE25">
        <v>855</v>
      </c>
      <c r="AF25">
        <v>79</v>
      </c>
      <c r="AG25">
        <v>934</v>
      </c>
      <c r="AH25">
        <v>192</v>
      </c>
      <c r="AI25">
        <v>20</v>
      </c>
      <c r="AJ25">
        <v>212</v>
      </c>
      <c r="AK25">
        <v>333</v>
      </c>
      <c r="AL25">
        <v>34</v>
      </c>
      <c r="AM25">
        <v>367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10621</v>
      </c>
      <c r="AU25">
        <v>866</v>
      </c>
      <c r="AV25">
        <v>11487</v>
      </c>
      <c r="AW25">
        <v>12001</v>
      </c>
      <c r="AX25">
        <v>3883</v>
      </c>
      <c r="AY25">
        <v>1000</v>
      </c>
      <c r="AZ25">
        <v>13000</v>
      </c>
      <c r="BA25">
        <v>144012</v>
      </c>
      <c r="BB25">
        <v>12000</v>
      </c>
      <c r="BC25">
        <v>156000</v>
      </c>
      <c r="BD25" s="26" t="s">
        <v>149</v>
      </c>
      <c r="BF25">
        <v>500</v>
      </c>
      <c r="BG25">
        <v>0</v>
      </c>
      <c r="BH25">
        <v>500</v>
      </c>
      <c r="BI25">
        <v>1600</v>
      </c>
      <c r="BJ25">
        <v>0</v>
      </c>
      <c r="BK25">
        <v>1600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1380</v>
      </c>
      <c r="BS25">
        <v>133</v>
      </c>
      <c r="BT25">
        <v>1513</v>
      </c>
      <c r="BU25">
        <v>10</v>
      </c>
      <c r="BV25">
        <v>10</v>
      </c>
      <c r="BW25">
        <v>20</v>
      </c>
      <c r="BX25">
        <v>0</v>
      </c>
      <c r="BY25" s="30">
        <v>0</v>
      </c>
      <c r="BZ25">
        <v>0</v>
      </c>
      <c r="CA25" s="23">
        <v>10</v>
      </c>
      <c r="CB25" s="23">
        <v>758</v>
      </c>
      <c r="CC25" s="23">
        <v>80</v>
      </c>
      <c r="CD25" s="23">
        <v>838</v>
      </c>
    </row>
    <row r="26" spans="1:82" ht="19.2" customHeight="1" x14ac:dyDescent="0.3">
      <c r="A26">
        <v>33</v>
      </c>
      <c r="B26" t="s">
        <v>144</v>
      </c>
      <c r="C26" s="31" t="s">
        <v>174</v>
      </c>
      <c r="D26" t="s">
        <v>176</v>
      </c>
      <c r="E26" t="s">
        <v>183</v>
      </c>
      <c r="G26">
        <v>265</v>
      </c>
      <c r="J26" t="s">
        <v>107</v>
      </c>
      <c r="K26" t="s">
        <v>141</v>
      </c>
      <c r="L26" t="s">
        <v>142</v>
      </c>
      <c r="N26" s="8">
        <v>47700.212</v>
      </c>
      <c r="O26" s="30">
        <v>9</v>
      </c>
      <c r="P26" s="30">
        <v>32.355459740057114</v>
      </c>
      <c r="Q26" s="23" t="s">
        <v>101</v>
      </c>
      <c r="S26">
        <v>4000</v>
      </c>
      <c r="T26">
        <v>400</v>
      </c>
      <c r="U26">
        <v>4400</v>
      </c>
      <c r="V26">
        <v>3500</v>
      </c>
      <c r="W26">
        <v>200</v>
      </c>
      <c r="X26">
        <v>3700</v>
      </c>
      <c r="Y26">
        <v>1021</v>
      </c>
      <c r="Z26">
        <v>266</v>
      </c>
      <c r="AA26">
        <v>1287</v>
      </c>
      <c r="AB26">
        <v>0</v>
      </c>
      <c r="AC26">
        <v>0</v>
      </c>
      <c r="AD26">
        <v>0</v>
      </c>
      <c r="AE26">
        <v>855</v>
      </c>
      <c r="AF26">
        <v>79</v>
      </c>
      <c r="AG26">
        <v>934</v>
      </c>
      <c r="AH26">
        <v>192</v>
      </c>
      <c r="AI26">
        <v>20</v>
      </c>
      <c r="AJ26">
        <v>212</v>
      </c>
      <c r="AK26">
        <v>333</v>
      </c>
      <c r="AL26">
        <v>34</v>
      </c>
      <c r="AM26">
        <v>367</v>
      </c>
      <c r="AN26">
        <v>0</v>
      </c>
      <c r="AO26">
        <v>0</v>
      </c>
      <c r="AP26">
        <v>0</v>
      </c>
      <c r="AQ26">
        <v>100</v>
      </c>
      <c r="AR26">
        <v>50</v>
      </c>
      <c r="AS26">
        <v>150</v>
      </c>
      <c r="AT26">
        <v>10621</v>
      </c>
      <c r="AU26">
        <v>866</v>
      </c>
      <c r="AV26">
        <v>11487</v>
      </c>
      <c r="AW26">
        <v>12001</v>
      </c>
      <c r="AX26">
        <v>3883</v>
      </c>
      <c r="AY26">
        <v>1000</v>
      </c>
      <c r="AZ26">
        <v>13000</v>
      </c>
      <c r="BA26">
        <v>144012</v>
      </c>
      <c r="BB26">
        <v>12000</v>
      </c>
      <c r="BC26">
        <v>156000</v>
      </c>
      <c r="BD26" s="26" t="s">
        <v>184</v>
      </c>
      <c r="BF26">
        <v>500</v>
      </c>
      <c r="BG26">
        <v>0</v>
      </c>
      <c r="BH26">
        <v>500</v>
      </c>
      <c r="BI26">
        <v>1600</v>
      </c>
      <c r="BJ26">
        <v>0</v>
      </c>
      <c r="BK26">
        <v>1600</v>
      </c>
      <c r="BL26">
        <v>0</v>
      </c>
      <c r="BM26">
        <v>0</v>
      </c>
      <c r="BN26">
        <v>0</v>
      </c>
      <c r="BO26">
        <v>100</v>
      </c>
      <c r="BP26">
        <v>20</v>
      </c>
      <c r="BQ26">
        <v>120</v>
      </c>
      <c r="BR26">
        <v>1380</v>
      </c>
      <c r="BS26">
        <v>133</v>
      </c>
      <c r="BT26">
        <v>1513</v>
      </c>
      <c r="BU26">
        <v>0</v>
      </c>
      <c r="BV26">
        <v>0</v>
      </c>
      <c r="BW26">
        <v>0</v>
      </c>
      <c r="BX26">
        <v>0</v>
      </c>
      <c r="BY26" s="30">
        <v>0</v>
      </c>
      <c r="BZ26">
        <v>0</v>
      </c>
      <c r="CA26" s="23">
        <v>10</v>
      </c>
      <c r="CB26" s="23">
        <v>0</v>
      </c>
      <c r="CC26" s="23">
        <v>0</v>
      </c>
      <c r="CD26" s="23">
        <v>0</v>
      </c>
    </row>
    <row r="27" spans="1:82" ht="19.2" customHeight="1" x14ac:dyDescent="0.3">
      <c r="A27">
        <v>32</v>
      </c>
      <c r="B27" t="s">
        <v>162</v>
      </c>
      <c r="C27" s="31" t="s">
        <v>175</v>
      </c>
      <c r="D27" t="s">
        <v>177</v>
      </c>
      <c r="E27" t="s">
        <v>181</v>
      </c>
      <c r="G27">
        <v>278</v>
      </c>
      <c r="J27" t="s">
        <v>106</v>
      </c>
      <c r="K27" t="s">
        <v>141</v>
      </c>
      <c r="L27" t="s">
        <v>116</v>
      </c>
      <c r="N27" s="8">
        <v>21233.041025000002</v>
      </c>
      <c r="O27" s="30">
        <v>40</v>
      </c>
      <c r="P27" s="30">
        <v>28</v>
      </c>
      <c r="Q27" s="23" t="s">
        <v>84</v>
      </c>
      <c r="S27" s="23">
        <v>17000</v>
      </c>
      <c r="T27" s="23">
        <v>6000</v>
      </c>
      <c r="U27" s="23">
        <v>23000</v>
      </c>
      <c r="V27" s="23">
        <v>8500</v>
      </c>
      <c r="W27" s="23">
        <v>3000</v>
      </c>
      <c r="X27" s="23">
        <v>11500</v>
      </c>
      <c r="Y27" s="23">
        <v>6800</v>
      </c>
      <c r="Z27" s="23">
        <v>4200</v>
      </c>
      <c r="AA27" s="23">
        <v>11000</v>
      </c>
      <c r="AB27" s="23">
        <v>0</v>
      </c>
      <c r="AC27" s="23">
        <v>0</v>
      </c>
      <c r="AD27" s="23">
        <v>0</v>
      </c>
      <c r="AE27">
        <v>1800</v>
      </c>
      <c r="AF27">
        <v>0</v>
      </c>
      <c r="AG27">
        <v>1800</v>
      </c>
      <c r="AH27">
        <v>817.7</v>
      </c>
      <c r="AI27">
        <v>288.60000000000002</v>
      </c>
      <c r="AJ27">
        <v>1106.3</v>
      </c>
      <c r="AK27">
        <v>1417</v>
      </c>
      <c r="AL27">
        <v>500</v>
      </c>
      <c r="AM27">
        <v>1917</v>
      </c>
      <c r="AN27">
        <v>4500</v>
      </c>
      <c r="AO27">
        <v>2000</v>
      </c>
      <c r="AP27">
        <v>6500</v>
      </c>
      <c r="AQ27">
        <v>0</v>
      </c>
      <c r="AR27">
        <v>0</v>
      </c>
      <c r="AS27">
        <v>0</v>
      </c>
      <c r="AT27">
        <v>85000</v>
      </c>
      <c r="AU27">
        <v>16565</v>
      </c>
      <c r="AV27">
        <v>101565</v>
      </c>
      <c r="AW27">
        <v>120000</v>
      </c>
      <c r="AX27">
        <v>4800</v>
      </c>
      <c r="AY27">
        <v>28500</v>
      </c>
      <c r="AZ27">
        <v>16800</v>
      </c>
      <c r="BA27">
        <v>44444</v>
      </c>
      <c r="BB27">
        <v>95630</v>
      </c>
      <c r="BC27">
        <f>BB27*12</f>
        <v>1147560</v>
      </c>
      <c r="BD27" s="26" t="s">
        <v>184</v>
      </c>
      <c r="BF27">
        <v>850</v>
      </c>
      <c r="BG27">
        <v>60</v>
      </c>
      <c r="BH27">
        <v>910</v>
      </c>
      <c r="BI27">
        <v>2500</v>
      </c>
      <c r="BJ27">
        <v>300</v>
      </c>
      <c r="BK27">
        <v>2800</v>
      </c>
      <c r="BL27">
        <v>5500</v>
      </c>
      <c r="BM27">
        <v>600</v>
      </c>
      <c r="BN27">
        <v>6100</v>
      </c>
      <c r="BO27">
        <v>4500</v>
      </c>
      <c r="BP27">
        <v>300</v>
      </c>
      <c r="BQ27">
        <v>4800</v>
      </c>
      <c r="BR27">
        <v>11111</v>
      </c>
      <c r="BS27">
        <v>222</v>
      </c>
      <c r="BT27">
        <v>666666</v>
      </c>
      <c r="BU27">
        <v>7777</v>
      </c>
      <c r="BV27">
        <v>4646</v>
      </c>
      <c r="BW27">
        <v>4545</v>
      </c>
      <c r="BX27">
        <v>3030</v>
      </c>
      <c r="BY27" s="30">
        <v>6060</v>
      </c>
      <c r="BZ27">
        <v>5050</v>
      </c>
      <c r="CA27" s="23">
        <v>5151</v>
      </c>
      <c r="CB27" s="23">
        <v>0</v>
      </c>
      <c r="CC27" s="23">
        <v>0</v>
      </c>
      <c r="CD27" s="23">
        <v>0</v>
      </c>
    </row>
  </sheetData>
  <conditionalFormatting sqref="A2:A6">
    <cfRule type="duplicateValues" dxfId="7" priority="8"/>
  </conditionalFormatting>
  <conditionalFormatting sqref="C2:C6">
    <cfRule type="duplicateValues" dxfId="6" priority="7"/>
  </conditionalFormatting>
  <conditionalFormatting sqref="C7:C9">
    <cfRule type="duplicateValues" dxfId="5" priority="5"/>
    <cfRule type="duplicateValues" dxfId="4" priority="6"/>
  </conditionalFormatting>
  <conditionalFormatting sqref="C10:C13 C15:C27">
    <cfRule type="duplicateValues" dxfId="3" priority="3"/>
    <cfRule type="duplicateValues" dxfId="2" priority="4"/>
  </conditionalFormatting>
  <conditionalFormatting sqref="C14">
    <cfRule type="duplicateValues" dxfId="1" priority="1"/>
    <cfRule type="duplicateValues" dxfId="0" priority="2"/>
  </conditionalFormatting>
  <hyperlinks>
    <hyperlink ref="BD8" r:id="rId1" xr:uid="{E483BA63-1B5A-4B7D-B473-EF1798A96B9E}"/>
    <hyperlink ref="BD7" r:id="rId2" xr:uid="{6C3EA01F-26EF-4846-A069-09B9467E2894}"/>
    <hyperlink ref="BE9" r:id="rId3" xr:uid="{5432DDC6-4551-4A68-BC6E-E65F2E764978}"/>
    <hyperlink ref="BD9" r:id="rId4" xr:uid="{BF948468-0EC0-456F-BFE0-0A22104907DC}"/>
    <hyperlink ref="BD2" r:id="rId5" xr:uid="{A30D46D0-A36C-416B-BD9C-885E40A94E4D}"/>
    <hyperlink ref="BD4" r:id="rId6" xr:uid="{0C376CC5-F3C6-413C-BD0F-4158F5779695}"/>
    <hyperlink ref="BD13" r:id="rId7" xr:uid="{E3E03D7F-54C8-4E6C-893B-B1F3921839CB}"/>
    <hyperlink ref="BD5" r:id="rId8" xr:uid="{E1F3C30C-C628-42D2-96AD-5E3A8166EAAE}"/>
    <hyperlink ref="BD12" r:id="rId9" xr:uid="{D67CF512-79D4-4EAF-A550-251606B80645}"/>
    <hyperlink ref="BD10" r:id="rId10" xr:uid="{419C8996-A2E3-4B14-BF7C-647D0C63B624}"/>
    <hyperlink ref="BD11" r:id="rId11" xr:uid="{8B2E4461-4A4B-4A31-81C0-5F328F9EDA6C}"/>
    <hyperlink ref="BD6" r:id="rId12" xr:uid="{F149B8C7-854F-4ECD-8D6E-E217A9597F5C}"/>
    <hyperlink ref="BD3" r:id="rId13" xr:uid="{B61C784D-E042-4A8E-968A-1187A70F6B94}"/>
    <hyperlink ref="BD14" r:id="rId14" xr:uid="{3A06F60F-6EF8-4D4A-90AE-F25CE233640E}"/>
    <hyperlink ref="BE14" r:id="rId15" xr:uid="{B92DC86F-1C4F-4CA7-9AB0-3D22583175BF}"/>
    <hyperlink ref="BD15" r:id="rId16" xr:uid="{56A8EFE3-9C88-47A3-86F3-B810C0DBE4C9}"/>
    <hyperlink ref="BD16" r:id="rId17" xr:uid="{6157885F-828A-4099-82C4-8E869C440798}"/>
    <hyperlink ref="BD17" r:id="rId18" xr:uid="{814F3A7D-6866-4E63-B8BE-B4BA1464422B}"/>
    <hyperlink ref="BD19" r:id="rId19" xr:uid="{6A97E8D3-4B1E-4838-87E4-B5369E668641}"/>
    <hyperlink ref="BD20" r:id="rId20" xr:uid="{F2AF929B-3C01-4B0B-A0C5-D9C16D4F837D}"/>
    <hyperlink ref="BD21" r:id="rId21" xr:uid="{44729340-06DC-4CAF-BA8F-9B56FFB7E740}"/>
    <hyperlink ref="BD22" r:id="rId22" xr:uid="{4AA649EF-118A-4939-ADD8-0AB20981EDF0}"/>
    <hyperlink ref="BD24" r:id="rId23" xr:uid="{83D2A35A-E24A-48EB-87D3-3DCBCA905FEA}"/>
    <hyperlink ref="BD26" r:id="rId24" xr:uid="{B729D352-A5C4-45B9-8D87-5BFA9B27CF62}"/>
    <hyperlink ref="BD27" r:id="rId25" xr:uid="{3ABF29D9-1FF9-4703-8425-3C622E28277C}"/>
    <hyperlink ref="BD23" r:id="rId26" xr:uid="{436BFB4C-EBA8-4871-90A1-ABB1A46CCDB0}"/>
    <hyperlink ref="BD25" r:id="rId27" xr:uid="{F20569BF-F713-499A-9BD8-E66D4EA6BA12}"/>
    <hyperlink ref="BD18" r:id="rId28" xr:uid="{7A7AB131-6B8F-4A4B-B2FA-894E8FD3C6FA}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2023-07-08T03:37:43Z</dcterms:created>
  <dcterms:modified xsi:type="dcterms:W3CDTF">2023-07-08T11:36:57Z</dcterms:modified>
</cp:coreProperties>
</file>