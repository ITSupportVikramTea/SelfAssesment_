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D866CE1D-C3C2-4237-A204-46A11CCC9B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Sheet1!$A$2:$CF$16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  <c r="T2" i="1" l="1"/>
</calcChain>
</file>

<file path=xl/sharedStrings.xml><?xml version="1.0" encoding="utf-8"?>
<sst xmlns="http://schemas.openxmlformats.org/spreadsheetml/2006/main" count="208" uniqueCount="152">
  <si>
    <t>Sr</t>
  </si>
  <si>
    <t>Emp_Name</t>
  </si>
  <si>
    <t>Department</t>
  </si>
  <si>
    <t>Designation</t>
  </si>
  <si>
    <t>New Designation</t>
  </si>
  <si>
    <t>Days</t>
  </si>
  <si>
    <t>Petrol Allowance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</si>
  <si>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</si>
  <si>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</si>
  <si>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</si>
  <si>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</si>
  <si>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</si>
  <si>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</si>
  <si>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</si>
  <si>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</si>
  <si>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</si>
  <si>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</si>
  <si>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Basic</t>
  </si>
  <si>
    <t>Basic Inc</t>
  </si>
  <si>
    <t>Basic Revised</t>
  </si>
  <si>
    <t>HRA</t>
  </si>
  <si>
    <t>HRA Inc</t>
  </si>
  <si>
    <t>HRA Revised</t>
  </si>
  <si>
    <t>PA</t>
  </si>
  <si>
    <t>PA Inc</t>
  </si>
  <si>
    <t>PA Revised</t>
  </si>
  <si>
    <t>DS</t>
  </si>
  <si>
    <t>DS Inc</t>
  </si>
  <si>
    <t>DS Revised</t>
  </si>
  <si>
    <t>PF</t>
  </si>
  <si>
    <t>PF Inc</t>
  </si>
  <si>
    <t>PF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</si>
  <si>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</si>
  <si>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</si>
  <si>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</si>
  <si>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</si>
  <si>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</si>
  <si>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</si>
  <si>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</si>
  <si>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</si>
  <si>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</si>
  <si>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ESIC</t>
  </si>
  <si>
    <t>ESIC Inc</t>
  </si>
  <si>
    <t>ESIC Revised</t>
  </si>
  <si>
    <t>Total A</t>
  </si>
  <si>
    <t>Total A Inc</t>
  </si>
  <si>
    <t>Total A Revised</t>
  </si>
  <si>
    <t>Total ABC</t>
  </si>
  <si>
    <t>Whole Year Incr Amount</t>
  </si>
  <si>
    <t>Total ABC Inc</t>
  </si>
  <si>
    <t>Total ABC Revised</t>
  </si>
  <si>
    <t>Total CTC ABC</t>
  </si>
  <si>
    <t>Total ABC CTC Inc</t>
  </si>
  <si>
    <t>Total ABC CTC Revised</t>
  </si>
  <si>
    <t>EmailID</t>
  </si>
  <si>
    <t>Email HOD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</si>
  <si>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</si>
  <si>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</si>
  <si>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</si>
  <si>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</si>
  <si>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</si>
  <si>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</si>
  <si>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</si>
  <si>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</si>
  <si>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</si>
  <si>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</si>
  <si>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</si>
  <si>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</si>
  <si>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</t>
  </si>
  <si>
    <t>Total B Inc</t>
  </si>
  <si>
    <t>Total B Revised</t>
  </si>
  <si>
    <t>Total C</t>
  </si>
  <si>
    <t>Total C Inc</t>
  </si>
  <si>
    <t>Total C Revised</t>
  </si>
  <si>
    <t>Performance Bonus</t>
  </si>
  <si>
    <t>Performance Bonus In</t>
  </si>
  <si>
    <t>Performance Bonus Rev</t>
  </si>
  <si>
    <t>Standard Inc</t>
  </si>
  <si>
    <t>Executive</t>
  </si>
  <si>
    <t>Mr.</t>
  </si>
  <si>
    <t>Sunil Sharma</t>
  </si>
  <si>
    <t>Retention Bonus</t>
  </si>
  <si>
    <t>Retention Bonus In</t>
  </si>
  <si>
    <t>Retention Bonus Rev</t>
  </si>
  <si>
    <t>Excellent</t>
  </si>
  <si>
    <t>Average</t>
  </si>
  <si>
    <t>ERPID</t>
  </si>
  <si>
    <t>Shishir Mishra</t>
  </si>
  <si>
    <t>HR-EMP-00445</t>
  </si>
  <si>
    <t>HR-EMP-00446</t>
  </si>
  <si>
    <t>HR-EMP-00480</t>
  </si>
  <si>
    <t>HR-EMP-01411</t>
  </si>
  <si>
    <t>HR-EMP-01412</t>
  </si>
  <si>
    <t>HR-EMP-01414</t>
  </si>
  <si>
    <t>HR-EMP-01415</t>
  </si>
  <si>
    <t>HR-EMP-01416</t>
  </si>
  <si>
    <t>HR-EMP-01418</t>
  </si>
  <si>
    <t>HR-EMP-01419</t>
  </si>
  <si>
    <t>HR-EMP-01420</t>
  </si>
  <si>
    <t>HR-EMP-01421</t>
  </si>
  <si>
    <t>HR-EMP-01425</t>
  </si>
  <si>
    <t>HR-EMP-01426</t>
  </si>
  <si>
    <t>HR-EMP-01493</t>
  </si>
  <si>
    <t>DEEPAK RAMESH RODIYA</t>
  </si>
  <si>
    <t>GANESH BALKISHAN SAPA</t>
  </si>
  <si>
    <t>AVESDDIN KHALILODDIN INAMDAR</t>
  </si>
  <si>
    <t>SHASHIKANT MOHANTY</t>
  </si>
  <si>
    <t>PAVAN M GUJJAR</t>
  </si>
  <si>
    <t>RAGHAVENDRA DANGE</t>
  </si>
  <si>
    <t>SHAIKH MOHAMMEDMAHIR YUSUF</t>
  </si>
  <si>
    <t>KAILAS JITMAL JAIN</t>
  </si>
  <si>
    <t>BABBURE KARTHIK GOUD</t>
  </si>
  <si>
    <t>RAVVALA UMESH</t>
  </si>
  <si>
    <t>NARAMULA MATSYAGIRI</t>
  </si>
  <si>
    <t>GUBBALA KUMAR</t>
  </si>
  <si>
    <t>R LAKSHMINARAYANA</t>
  </si>
  <si>
    <t>KOMMUKA ASHOK</t>
  </si>
  <si>
    <t>WAGHAMARE GAJENDRA SHIVAJI</t>
  </si>
  <si>
    <t>Sales - VTPPL</t>
  </si>
  <si>
    <t>Warehouse - VTPPL</t>
  </si>
  <si>
    <t>Maintenance - VTPPL</t>
  </si>
  <si>
    <t>Sales Development Manager</t>
  </si>
  <si>
    <t>Sr. Officer</t>
  </si>
  <si>
    <t>Sales Representative</t>
  </si>
  <si>
    <t>Area Sales Manager</t>
  </si>
  <si>
    <t>Area Sales Executive</t>
  </si>
  <si>
    <t>Sales Officer</t>
  </si>
  <si>
    <t>Officer Maintenance</t>
  </si>
  <si>
    <t>deepak@vikramtea.com</t>
  </si>
  <si>
    <t>Aves Inamdar &lt;a.inamdar@vikramtea.com&gt;</t>
  </si>
  <si>
    <t>mohantyshashikanta937@gmail.com</t>
  </si>
  <si>
    <t>pavangujjar6@gmail.com</t>
  </si>
  <si>
    <t>raghavendradange@gmail.com</t>
  </si>
  <si>
    <t>smahir966@gmail.com</t>
  </si>
  <si>
    <t>kailashjain9322@gmail.com</t>
  </si>
  <si>
    <t xml:space="preserve">goudkarthik54@gmail.com </t>
  </si>
  <si>
    <t>umeshravvala@gmail.com</t>
  </si>
  <si>
    <t>namulamathyagiri90@gmail.com</t>
  </si>
  <si>
    <t>kumargubbala007@gmail.com</t>
  </si>
  <si>
    <t>lakshmirln@gmail.com</t>
  </si>
  <si>
    <t>komukaashok@gmail.com</t>
  </si>
  <si>
    <t>gajendrawaghmare1401@gmail.com</t>
  </si>
  <si>
    <t>Good</t>
  </si>
  <si>
    <t>good</t>
  </si>
  <si>
    <t>Very Good</t>
  </si>
  <si>
    <t>BS</t>
  </si>
  <si>
    <t>Assistant Manager</t>
  </si>
  <si>
    <t>avinash@vikratea.com</t>
  </si>
  <si>
    <t>Sudhir R Kakde</t>
  </si>
  <si>
    <t>HR-EMP-01095</t>
  </si>
  <si>
    <t>Human Resource -VTPPL</t>
  </si>
  <si>
    <t>Vishal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</si>
</sst>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9">
    <xf numFmtId="0" fontId="0" fillId="0" borderId="0" xfId="0"/>
    <xf numFmtId="1" fontId="5" fillId="0" borderId="1" xfId="3" applyNumberFormat="1" applyFont="1" applyBorder="1"/>
    <xf numFmtId="1" fontId="5" fillId="0" borderId="1" xfId="3" applyNumberFormat="1" applyFont="1" applyBorder="1" applyAlignment="1">
      <alignment horizontal="left" vertical="center" wrapText="1"/>
    </xf>
    <xf numFmtId="1" fontId="5" fillId="0" borderId="1" xfId="3" applyNumberFormat="1" applyFont="1" applyBorder="1" applyAlignment="1">
      <alignment horizontal="left"/>
    </xf>
    <xf numFmtId="1" fontId="5" fillId="0" borderId="1" xfId="3" applyNumberFormat="1" applyFont="1" applyBorder="1" applyAlignment="1">
      <alignment horizontal="left" vertical="center"/>
    </xf>
    <xf numFmtId="1" fontId="0" fillId="0" borderId="0" xfId="0" applyNumberFormat="1"/>
    <xf numFmtId="0" fontId="3" fillId="0" borderId="1" xfId="0" applyFont="1" applyBorder="1"/>
    <xf numFmtId="0" fontId="0" fillId="0" borderId="1" xfId="0" applyBorder="1"/>
    <xf numFmtId="10" fontId="1" fillId="0" borderId="1" xfId="1" applyNumberFormat="1" applyFont="1" applyBorder="1"/>
    <xf numFmtId="1" fontId="0" fillId="0" borderId="1" xfId="0" applyNumberFormat="1" applyBorder="1"/>
    <xf numFmtId="2" fontId="1" fillId="0" borderId="1" xfId="1" applyNumberFormat="1" applyFont="1" applyBorder="1"/>
    <xf numFmtId="2" fontId="0" fillId="0" borderId="1" xfId="0" applyNumberFormat="1" applyBorder="1"/>
    <xf numFmtId="0" fontId="2" fillId="0" borderId="1" xfId="2" applyBorder="1"/>
    <xf numFmtId="1" fontId="1" fillId="0" borderId="1" xfId="1" applyNumberFormat="1" applyFont="1" applyBorder="1"/>
    <xf numFmtId="2" fontId="0" fillId="0" borderId="0" xfId="0" applyNumberFormat="1"/>
    <xf numFmtId="1" fontId="6" fillId="0" borderId="1" xfId="3" applyNumberFormat="1" applyFont="1" applyBorder="1"/>
    <xf numFmtId="10" fontId="0" fillId="0" borderId="1" xfId="1" applyNumberFormat="1" applyFont="1" applyBorder="1"/>
    <xf numFmtId="2" fontId="0" fillId="0" borderId="1" xfId="1" applyNumberFormat="1" applyFont="1" applyBorder="1"/>
    <xf numFmtId="1" fontId="0" fillId="0" borderId="1" xfId="1" applyNumberFormat="1" applyFont="1" applyBorder="1"/>
  </cellXfs>
  <cellStyles count="4">
    <cellStyle name="Hyperlink" xfId="2" builtinId="8"/>
    <cellStyle name="Normal" xfId="0" builtinId="0"/>
    <cellStyle name="Normal 4 2 2" xfId="3" xr:uid="{00000000-0005-0000-0000-000002000000}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4"/>
  <sheetViews>
    <sheetView tabSelected="1" workbookViewId="0">
      <pane xSplit="3" ySplit="1" topLeftCell="K2" activePane="bottomRight" state="frozen"/>
      <selection pane="topRight" activeCell="D1" sqref="D1"/>
      <selection pane="bottomLeft" activeCell="A6" sqref="A6"/>
      <selection pane="bottomRight" activeCell="Q10" sqref="Q10"/>
    </sheetView>
  </sheetViews>
  <sheetFormatPr defaultRowHeight="14.4" x14ac:dyDescent="0.3"/>
  <cols>
    <col min="1" max="1" width="3" bestFit="1" customWidth="1"/>
    <col min="2" max="2" width="14.5546875" bestFit="1" customWidth="1"/>
    <col min="3" max="3" width="16.33203125" bestFit="1" customWidth="1"/>
    <col min="4" max="4" width="27.33203125" bestFit="1" customWidth="1"/>
    <col min="5" max="5" width="32.88671875" bestFit="1" customWidth="1"/>
    <col min="6" max="6" width="16.33203125" bestFit="1" customWidth="1"/>
    <col min="7" max="7" width="5.109375" bestFit="1" customWidth="1"/>
    <col min="8" max="8" width="16.33203125" bestFit="1" customWidth="1"/>
    <col min="9" max="9" width="19.6640625" bestFit="1" customWidth="1"/>
    <col min="10" max="10" width="10.88671875" bestFit="1" customWidth="1"/>
    <col min="11" max="11" width="11.33203125" bestFit="1" customWidth="1"/>
    <col min="12" max="12" width="10.33203125" bestFit="1" customWidth="1"/>
    <col min="13" max="13" width="16.109375" bestFit="1" customWidth="1"/>
    <col min="14" max="14" width="21.44140625" bestFit="1" customWidth="1"/>
    <col min="15" max="15" width="19.5546875" bestFit="1" customWidth="1"/>
    <col min="16" max="16" width="20.88671875" bestFit="1" customWidth="1"/>
    <col min="17" max="17" width="20.88671875" customWidth="1"/>
    <col min="18" max="18" width="35" bestFit="1" customWidth="1"/>
    <col min="19" max="19" width="11.5546875" bestFit="1" customWidth="1"/>
    <col min="20" max="20" width="12.109375" bestFit="1" customWidth="1"/>
    <col min="21" max="21" width="13" bestFit="1" customWidth="1"/>
    <col min="22" max="22" width="11.5546875" bestFit="1" customWidth="1"/>
    <col min="23" max="23" width="10.5546875" bestFit="1" customWidth="1"/>
    <col min="24" max="24" width="12.33203125" bestFit="1" customWidth="1"/>
    <col min="25" max="25" width="11.5546875" bestFit="1" customWidth="1"/>
    <col min="26" max="27" width="12.109375" bestFit="1" customWidth="1"/>
    <col min="28" max="28" width="7.5546875" bestFit="1" customWidth="1"/>
    <col min="29" max="29" width="6.33203125" bestFit="1" customWidth="1"/>
    <col min="30" max="30" width="10.88671875" bestFit="1" customWidth="1"/>
    <col min="31" max="31" width="10.5546875" bestFit="1" customWidth="1"/>
    <col min="32" max="33" width="12.109375" bestFit="1" customWidth="1"/>
    <col min="34" max="34" width="10.5546875" bestFit="1" customWidth="1"/>
    <col min="35" max="35" width="12.109375" bestFit="1" customWidth="1"/>
    <col min="36" max="36" width="15.88671875" bestFit="1" customWidth="1"/>
    <col min="37" max="37" width="10.5546875" bestFit="1" customWidth="1"/>
    <col min="38" max="38" width="12.109375" bestFit="1" customWidth="1"/>
    <col min="39" max="39" width="14.109375" bestFit="1" customWidth="1"/>
    <col min="40" max="40" width="10.5546875" bestFit="1" customWidth="1"/>
    <col min="41" max="41" width="7.5546875" bestFit="1" customWidth="1"/>
    <col min="42" max="42" width="12.109375" bestFit="1" customWidth="1"/>
    <col min="43" max="43" width="9.5546875" bestFit="1" customWidth="1"/>
    <col min="44" max="44" width="12.109375" bestFit="1" customWidth="1"/>
    <col min="45" max="45" width="12.33203125" bestFit="1" customWidth="1"/>
    <col min="46" max="46" width="12.5546875" bestFit="1" customWidth="1"/>
    <col min="47" max="47" width="12.88671875" bestFit="1" customWidth="1"/>
    <col min="48" max="48" width="18.109375" bestFit="1" customWidth="1"/>
    <col min="49" max="50" width="12.5546875" bestFit="1" customWidth="1"/>
    <col min="51" max="51" width="17.109375" bestFit="1" customWidth="1"/>
    <col min="52" max="52" width="17.33203125" bestFit="1" customWidth="1"/>
    <col min="53" max="53" width="16.44140625" bestFit="1" customWidth="1"/>
    <col min="54" max="54" width="21" bestFit="1" customWidth="1"/>
    <col min="55" max="55" width="27.33203125" bestFit="1" customWidth="1"/>
    <col min="56" max="56" width="29.44140625" bestFit="1" customWidth="1"/>
    <col min="57" max="57" width="7.5546875" bestFit="1" customWidth="1"/>
    <col min="58" max="58" width="11.109375" bestFit="1" customWidth="1"/>
    <col min="59" max="59" width="17.44140625" bestFit="1" customWidth="1"/>
    <col min="60" max="60" width="7.5546875" bestFit="1" customWidth="1"/>
    <col min="61" max="61" width="8.5546875" bestFit="1" customWidth="1"/>
    <col min="62" max="62" width="9.88671875" bestFit="1" customWidth="1"/>
    <col min="63" max="63" width="8" bestFit="1" customWidth="1"/>
    <col min="64" max="64" width="11" bestFit="1" customWidth="1"/>
    <col min="65" max="65" width="15.5546875" bestFit="1" customWidth="1"/>
    <col min="66" max="66" width="7.6640625" bestFit="1" customWidth="1"/>
    <col min="67" max="67" width="9.88671875" bestFit="1" customWidth="1"/>
    <col min="68" max="68" width="11.44140625" bestFit="1" customWidth="1"/>
    <col min="69" max="69" width="9" bestFit="1" customWidth="1"/>
    <col min="70" max="70" width="13" bestFit="1" customWidth="1"/>
    <col min="71" max="71" width="18.33203125" bestFit="1" customWidth="1"/>
    <col min="72" max="72" width="9" bestFit="1" customWidth="1"/>
    <col min="73" max="73" width="13" bestFit="1" customWidth="1"/>
    <col min="74" max="74" width="18.33203125" bestFit="1" customWidth="1"/>
    <col min="75" max="75" width="22.88671875" bestFit="1" customWidth="1"/>
    <col min="76" max="76" width="25.6640625" bestFit="1" customWidth="1"/>
    <col min="77" max="77" width="27.5546875" bestFit="1" customWidth="1"/>
    <col min="78" max="78" width="15.44140625" bestFit="1" customWidth="1"/>
    <col min="79" max="79" width="19.6640625" bestFit="1" customWidth="1"/>
    <col min="80" max="80" width="22.6640625" bestFit="1" customWidth="1"/>
    <col min="81" max="81" width="24.44140625" bestFit="1" customWidth="1"/>
    <col min="82" max="82" width="28.33203125" bestFit="1" customWidth="1"/>
    <col min="84" max="84" width="9.5546875" bestFit="1" customWidth="1"/>
  </cols>
  <sheetData>
    <row r="1" spans="1:84" x14ac:dyDescent="0.3">
      <c r="A1" s="7" t="s">
        <v>0</v>
      </c>
      <c r="B1" s="7" t="s">
        <v>86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6" t="s">
        <v>32</v>
      </c>
      <c r="AI1" s="7" t="s">
        <v>33</v>
      </c>
      <c r="AJ1" s="7" t="s">
        <v>34</v>
      </c>
      <c r="AK1" s="6" t="s">
        <v>35</v>
      </c>
      <c r="AL1" s="7" t="s">
        <v>36</v>
      </c>
      <c r="AM1" s="7" t="s">
        <v>37</v>
      </c>
      <c r="AN1" s="6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7" t="s">
        <v>49</v>
      </c>
      <c r="AY1" s="7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81</v>
      </c>
      <c r="CB1" s="6" t="s">
        <v>82</v>
      </c>
      <c r="CC1" s="6" t="s">
        <v>83</v>
      </c>
      <c r="CD1" s="6" t="s">
        <v>48</v>
      </c>
    </row>
    <row r="2" spans="1:84" ht="27.6" x14ac:dyDescent="0.3">
      <c r="A2" s="7">
        <v>1</v>
      </c>
      <c r="B2" s="1" t="s">
        <v>88</v>
      </c>
      <c r="C2" s="2" t="s">
        <v>103</v>
      </c>
      <c r="D2" s="3" t="s">
        <v>118</v>
      </c>
      <c r="E2" s="4" t="s">
        <v>121</v>
      </c>
      <c r="F2" s="7"/>
      <c r="G2" s="7">
        <v>365</v>
      </c>
      <c r="H2" s="7"/>
      <c r="I2" s="7"/>
      <c r="J2" s="7" t="s">
        <v>79</v>
      </c>
      <c r="K2" s="7" t="s">
        <v>142</v>
      </c>
      <c r="L2" s="7"/>
      <c r="M2" s="8"/>
      <c r="N2" s="9">
        <v>109920</v>
      </c>
      <c r="O2" s="10">
        <v>6.25</v>
      </c>
      <c r="P2" s="10">
        <v>9.9996376147141603</v>
      </c>
      <c r="Q2" s="11" t="s">
        <v>87</v>
      </c>
      <c r="R2" s="7"/>
      <c r="S2" s="9">
        <v>24500</v>
      </c>
      <c r="T2" s="9">
        <f>ROUND(3642.4,0)</f>
        <v>3642</v>
      </c>
      <c r="U2" s="9">
        <v>28142.400000000001</v>
      </c>
      <c r="V2" s="9">
        <v>9900</v>
      </c>
      <c r="W2" s="9">
        <v>4553</v>
      </c>
      <c r="X2" s="9">
        <v>14453</v>
      </c>
      <c r="Y2" s="9">
        <v>44844</v>
      </c>
      <c r="Z2" s="9">
        <v>431.98864000001049</v>
      </c>
      <c r="AA2" s="9">
        <v>45275.98864000001</v>
      </c>
      <c r="AB2" s="9">
        <v>0</v>
      </c>
      <c r="AC2" s="9">
        <v>0</v>
      </c>
      <c r="AD2" s="9">
        <v>0</v>
      </c>
      <c r="AE2" s="9">
        <v>1800</v>
      </c>
      <c r="AF2" s="9">
        <v>0</v>
      </c>
      <c r="AG2" s="9">
        <v>1800</v>
      </c>
      <c r="AH2" s="9">
        <v>1178.4499999999998</v>
      </c>
      <c r="AI2" s="9">
        <v>175.1994400000001</v>
      </c>
      <c r="AJ2" s="9">
        <v>1353.6494399999999</v>
      </c>
      <c r="AK2" s="9">
        <v>2040.85</v>
      </c>
      <c r="AL2" s="9">
        <v>303.41192000000001</v>
      </c>
      <c r="AM2" s="9">
        <v>2344.2619199999999</v>
      </c>
      <c r="AN2" s="9">
        <v>600</v>
      </c>
      <c r="AO2" s="9">
        <v>0</v>
      </c>
      <c r="AP2" s="9">
        <v>600</v>
      </c>
      <c r="AQ2" s="9">
        <v>0</v>
      </c>
      <c r="AR2" s="9">
        <v>0</v>
      </c>
      <c r="AS2" s="9">
        <v>0</v>
      </c>
      <c r="AT2" s="9">
        <v>85444</v>
      </c>
      <c r="AU2" s="9">
        <v>8627.3886400000101</v>
      </c>
      <c r="AV2" s="9">
        <v>94071.388640000005</v>
      </c>
      <c r="AW2" s="9">
        <v>100813.3</v>
      </c>
      <c r="AX2" s="9">
        <v>9106</v>
      </c>
      <c r="AY2" s="9">
        <v>109919.3</v>
      </c>
      <c r="AZ2" s="9">
        <v>1209759.6000000001</v>
      </c>
      <c r="BA2" s="9">
        <v>109272</v>
      </c>
      <c r="BB2" s="9">
        <v>1319031.6000000001</v>
      </c>
      <c r="BC2" s="12" t="s">
        <v>128</v>
      </c>
      <c r="BD2" s="7"/>
      <c r="BE2" s="9">
        <v>1500</v>
      </c>
      <c r="BF2" s="9">
        <v>0</v>
      </c>
      <c r="BG2" s="9">
        <v>1500</v>
      </c>
      <c r="BH2" s="9">
        <v>4700</v>
      </c>
      <c r="BI2" s="9">
        <v>0</v>
      </c>
      <c r="BJ2" s="9">
        <v>4700</v>
      </c>
      <c r="BK2" s="9">
        <v>0</v>
      </c>
      <c r="BL2" s="9">
        <v>0</v>
      </c>
      <c r="BM2" s="9">
        <v>0</v>
      </c>
      <c r="BN2" s="9">
        <v>7500</v>
      </c>
      <c r="BO2" s="9">
        <v>0</v>
      </c>
      <c r="BP2" s="9">
        <v>7500</v>
      </c>
      <c r="BQ2" s="9">
        <v>10350</v>
      </c>
      <c r="BR2" s="9">
        <v>0</v>
      </c>
      <c r="BS2" s="9">
        <v>10350</v>
      </c>
      <c r="BT2" s="9">
        <v>0</v>
      </c>
      <c r="BU2" s="9">
        <v>0</v>
      </c>
      <c r="BV2" s="9">
        <v>0</v>
      </c>
      <c r="BW2" s="9">
        <v>2250</v>
      </c>
      <c r="BX2" s="13">
        <v>0</v>
      </c>
      <c r="BY2" s="9">
        <v>2250</v>
      </c>
      <c r="BZ2" s="9">
        <v>0</v>
      </c>
      <c r="CA2" s="9">
        <v>0</v>
      </c>
      <c r="CB2" s="9">
        <v>0</v>
      </c>
      <c r="CC2" s="9">
        <v>0</v>
      </c>
      <c r="CD2" s="9">
        <v>109920</v>
      </c>
      <c r="CF2" s="5"/>
    </row>
    <row r="3" spans="1:84" ht="27.6" x14ac:dyDescent="0.3">
      <c r="A3" s="7">
        <f>A2+1</f>
        <v>2</v>
      </c>
      <c r="B3" s="1" t="s">
        <v>89</v>
      </c>
      <c r="C3" s="2" t="s">
        <v>104</v>
      </c>
      <c r="D3" s="3" t="s">
        <v>119</v>
      </c>
      <c r="E3" s="4" t="s">
        <v>122</v>
      </c>
      <c r="F3" s="7"/>
      <c r="G3" s="7">
        <v>365</v>
      </c>
      <c r="H3" s="7"/>
      <c r="I3" s="7" t="s">
        <v>78</v>
      </c>
      <c r="J3" s="7" t="s">
        <v>79</v>
      </c>
      <c r="K3" s="7"/>
      <c r="L3" s="7"/>
      <c r="M3" s="8"/>
      <c r="N3" s="9">
        <v>28894</v>
      </c>
      <c r="O3" s="10">
        <v>6.25</v>
      </c>
      <c r="P3" s="10">
        <v>7.4365524960649019</v>
      </c>
      <c r="Q3" s="11" t="s">
        <v>80</v>
      </c>
      <c r="R3" s="7"/>
      <c r="S3" s="9">
        <v>8100</v>
      </c>
      <c r="T3" s="9">
        <v>800</v>
      </c>
      <c r="U3" s="9">
        <v>8900</v>
      </c>
      <c r="V3" s="9">
        <v>3200</v>
      </c>
      <c r="W3" s="9">
        <v>1000</v>
      </c>
      <c r="X3" s="9">
        <v>4200</v>
      </c>
      <c r="Y3" s="9">
        <v>9649</v>
      </c>
      <c r="Z3" s="9">
        <v>35</v>
      </c>
      <c r="AA3" s="9">
        <v>9684</v>
      </c>
      <c r="AB3" s="9">
        <v>0</v>
      </c>
      <c r="AC3" s="9">
        <v>0</v>
      </c>
      <c r="AD3" s="9">
        <v>0</v>
      </c>
      <c r="AE3" s="9">
        <v>1800</v>
      </c>
      <c r="AF3" s="9">
        <v>0</v>
      </c>
      <c r="AG3" s="9">
        <v>1800</v>
      </c>
      <c r="AH3" s="9">
        <v>389.61</v>
      </c>
      <c r="AI3" s="9">
        <v>38.479999999999961</v>
      </c>
      <c r="AJ3" s="9">
        <v>428.09</v>
      </c>
      <c r="AK3" s="9">
        <v>674.73</v>
      </c>
      <c r="AL3" s="9">
        <v>66.639999999999986</v>
      </c>
      <c r="AM3" s="9">
        <v>741.37</v>
      </c>
      <c r="AN3" s="9">
        <v>0</v>
      </c>
      <c r="AO3" s="9">
        <v>0</v>
      </c>
      <c r="AP3" s="9">
        <v>0</v>
      </c>
      <c r="AQ3" s="9">
        <v>157.11750000000001</v>
      </c>
      <c r="AR3" s="9">
        <v>13.762499999999999</v>
      </c>
      <c r="AS3" s="9">
        <v>170.88</v>
      </c>
      <c r="AT3" s="9">
        <v>23349</v>
      </c>
      <c r="AU3" s="9">
        <v>1835</v>
      </c>
      <c r="AV3" s="9">
        <v>25184</v>
      </c>
      <c r="AW3" s="9">
        <v>26894.182499999999</v>
      </c>
      <c r="AX3" s="9">
        <v>1999.7574999999997</v>
      </c>
      <c r="AY3" s="9">
        <v>28893.94</v>
      </c>
      <c r="AZ3" s="9">
        <v>322730.19</v>
      </c>
      <c r="BA3" s="9">
        <v>23997.089999999967</v>
      </c>
      <c r="BB3" s="9">
        <v>346727.27999999997</v>
      </c>
      <c r="BC3" s="12"/>
      <c r="BD3" s="7"/>
      <c r="BE3" s="9">
        <v>800</v>
      </c>
      <c r="BF3" s="9">
        <v>0</v>
      </c>
      <c r="BG3" s="9">
        <v>800</v>
      </c>
      <c r="BH3" s="9">
        <v>1600</v>
      </c>
      <c r="BI3" s="9">
        <v>0</v>
      </c>
      <c r="BJ3" s="9">
        <v>1600</v>
      </c>
      <c r="BK3" s="9">
        <v>0</v>
      </c>
      <c r="BL3" s="9">
        <v>0</v>
      </c>
      <c r="BM3" s="9">
        <v>0</v>
      </c>
      <c r="BN3" s="9">
        <v>0</v>
      </c>
      <c r="BO3" s="9">
        <v>0</v>
      </c>
      <c r="BP3" s="9">
        <v>0</v>
      </c>
      <c r="BQ3" s="9">
        <v>0</v>
      </c>
      <c r="BR3" s="9">
        <v>0</v>
      </c>
      <c r="BS3" s="9">
        <v>0</v>
      </c>
      <c r="BT3" s="9">
        <v>0</v>
      </c>
      <c r="BU3" s="9">
        <v>0</v>
      </c>
      <c r="BV3" s="9">
        <v>0</v>
      </c>
      <c r="BW3" s="9">
        <v>0</v>
      </c>
      <c r="BX3" s="13">
        <v>0</v>
      </c>
      <c r="BY3" s="9">
        <v>0</v>
      </c>
      <c r="BZ3" s="9">
        <v>0</v>
      </c>
      <c r="CA3" s="9">
        <v>0</v>
      </c>
      <c r="CB3" s="9">
        <v>0</v>
      </c>
      <c r="CC3" s="9">
        <v>0</v>
      </c>
      <c r="CD3" s="9">
        <v>28894</v>
      </c>
      <c r="CF3" s="5"/>
    </row>
    <row r="4" spans="1:84" ht="41.4" x14ac:dyDescent="0.3">
      <c r="A4" s="7">
        <f t="shared" ref="A4:A16" si="0">A3+1</f>
        <v>3</v>
      </c>
      <c r="B4" s="1" t="s">
        <v>90</v>
      </c>
      <c r="C4" s="2" t="s">
        <v>105</v>
      </c>
      <c r="D4" s="3" t="s">
        <v>118</v>
      </c>
      <c r="E4" s="4" t="s">
        <v>125</v>
      </c>
      <c r="F4" s="7"/>
      <c r="G4" s="7">
        <v>365</v>
      </c>
      <c r="H4" s="7"/>
      <c r="I4" s="7"/>
      <c r="J4" s="7" t="s">
        <v>79</v>
      </c>
      <c r="K4" s="7" t="s">
        <v>144</v>
      </c>
      <c r="L4" s="7"/>
      <c r="M4" s="10"/>
      <c r="N4" s="9">
        <v>46983</v>
      </c>
      <c r="O4" s="10">
        <v>6.25</v>
      </c>
      <c r="P4" s="10">
        <v>8.0003991009725475</v>
      </c>
      <c r="Q4" s="11" t="s">
        <v>87</v>
      </c>
      <c r="R4" s="7"/>
      <c r="S4" s="9">
        <v>9000</v>
      </c>
      <c r="T4" s="9">
        <v>1218.8</v>
      </c>
      <c r="U4" s="9">
        <v>10218.799999999999</v>
      </c>
      <c r="V4" s="9">
        <v>3600</v>
      </c>
      <c r="W4" s="9">
        <v>1523.5</v>
      </c>
      <c r="X4" s="9">
        <v>5123.5</v>
      </c>
      <c r="Y4" s="9">
        <v>18153</v>
      </c>
      <c r="Z4" s="9">
        <v>144.54967999999644</v>
      </c>
      <c r="AA4" s="9">
        <v>18297.549679999996</v>
      </c>
      <c r="AB4" s="9">
        <v>0</v>
      </c>
      <c r="AC4" s="9">
        <v>0</v>
      </c>
      <c r="AD4" s="9">
        <v>0</v>
      </c>
      <c r="AE4" s="9">
        <v>1800</v>
      </c>
      <c r="AF4" s="9">
        <v>0</v>
      </c>
      <c r="AG4" s="9">
        <v>1800</v>
      </c>
      <c r="AH4" s="9">
        <v>432.9</v>
      </c>
      <c r="AI4" s="9">
        <v>58.624279999999942</v>
      </c>
      <c r="AJ4" s="9">
        <v>491.52427999999992</v>
      </c>
      <c r="AK4" s="9">
        <v>749.7</v>
      </c>
      <c r="AL4" s="9">
        <v>101.52603999999985</v>
      </c>
      <c r="AM4" s="9">
        <v>851.2260399999999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35103</v>
      </c>
      <c r="AU4" s="9">
        <v>2886.8496799999966</v>
      </c>
      <c r="AV4" s="9">
        <v>37989.849679999999</v>
      </c>
      <c r="AW4" s="9">
        <v>43935.6</v>
      </c>
      <c r="AX4" s="9">
        <v>3047</v>
      </c>
      <c r="AY4" s="9">
        <v>46982.6</v>
      </c>
      <c r="AZ4" s="9">
        <v>527227.19999999995</v>
      </c>
      <c r="BA4" s="9">
        <v>36564</v>
      </c>
      <c r="BB4" s="9">
        <v>563791.19999999995</v>
      </c>
      <c r="BC4" s="12" t="s">
        <v>129</v>
      </c>
      <c r="BD4" s="7"/>
      <c r="BE4" s="9">
        <v>1100</v>
      </c>
      <c r="BF4" s="9">
        <v>0</v>
      </c>
      <c r="BG4" s="9">
        <v>1100</v>
      </c>
      <c r="BH4" s="9">
        <v>2000</v>
      </c>
      <c r="BI4" s="9">
        <v>0</v>
      </c>
      <c r="BJ4" s="9">
        <v>2000</v>
      </c>
      <c r="BK4" s="9">
        <v>1250</v>
      </c>
      <c r="BL4" s="9">
        <v>0</v>
      </c>
      <c r="BM4" s="9">
        <v>1250</v>
      </c>
      <c r="BN4" s="9">
        <v>4500</v>
      </c>
      <c r="BO4" s="9">
        <v>0</v>
      </c>
      <c r="BP4" s="9">
        <v>4500</v>
      </c>
      <c r="BQ4" s="9">
        <v>5850</v>
      </c>
      <c r="BR4" s="9">
        <v>0</v>
      </c>
      <c r="BS4" s="9">
        <v>5850</v>
      </c>
      <c r="BT4" s="9">
        <v>0</v>
      </c>
      <c r="BU4" s="9">
        <v>0</v>
      </c>
      <c r="BV4" s="9">
        <v>0</v>
      </c>
      <c r="BW4" s="9">
        <v>1350</v>
      </c>
      <c r="BX4" s="13">
        <v>0</v>
      </c>
      <c r="BY4" s="9">
        <v>1350</v>
      </c>
      <c r="BZ4" s="9">
        <v>0</v>
      </c>
      <c r="CA4" s="9">
        <v>0</v>
      </c>
      <c r="CB4" s="9">
        <v>0</v>
      </c>
      <c r="CC4" s="9">
        <v>0</v>
      </c>
      <c r="CD4" s="9">
        <v>46983</v>
      </c>
      <c r="CF4" s="5"/>
    </row>
    <row r="5" spans="1:84" ht="27.6" x14ac:dyDescent="0.3">
      <c r="A5" s="7">
        <f t="shared" si="0"/>
        <v>4</v>
      </c>
      <c r="B5" s="1" t="s">
        <v>91</v>
      </c>
      <c r="C5" s="2" t="s">
        <v>106</v>
      </c>
      <c r="D5" s="3" t="s">
        <v>118</v>
      </c>
      <c r="E5" s="4" t="s">
        <v>126</v>
      </c>
      <c r="F5" s="7"/>
      <c r="G5" s="7">
        <v>103</v>
      </c>
      <c r="H5" s="7"/>
      <c r="I5" s="7"/>
      <c r="J5" s="7" t="s">
        <v>79</v>
      </c>
      <c r="K5" s="7" t="s">
        <v>145</v>
      </c>
      <c r="L5" s="7"/>
      <c r="M5" s="7"/>
      <c r="N5" s="9">
        <v>40290</v>
      </c>
      <c r="O5" s="10">
        <v>6.25</v>
      </c>
      <c r="P5" s="11">
        <v>0</v>
      </c>
      <c r="Q5" s="11" t="s">
        <v>87</v>
      </c>
      <c r="R5" s="7"/>
      <c r="S5" s="9">
        <v>12000</v>
      </c>
      <c r="T5" s="9">
        <v>0</v>
      </c>
      <c r="U5" s="9">
        <v>12000</v>
      </c>
      <c r="V5" s="9">
        <v>11000</v>
      </c>
      <c r="W5" s="9">
        <v>0</v>
      </c>
      <c r="X5" s="9">
        <v>11000</v>
      </c>
      <c r="Y5" s="9">
        <v>7023</v>
      </c>
      <c r="Z5" s="9">
        <v>0</v>
      </c>
      <c r="AA5" s="9">
        <v>7023</v>
      </c>
      <c r="AB5" s="9">
        <v>0</v>
      </c>
      <c r="AC5" s="9">
        <v>0</v>
      </c>
      <c r="AD5" s="9">
        <v>0</v>
      </c>
      <c r="AE5" s="9">
        <v>1800</v>
      </c>
      <c r="AF5" s="9">
        <v>0</v>
      </c>
      <c r="AG5" s="9">
        <v>1800</v>
      </c>
      <c r="AH5" s="9">
        <v>577.19999999999993</v>
      </c>
      <c r="AI5" s="9">
        <v>0</v>
      </c>
      <c r="AJ5" s="9">
        <v>577.19999999999993</v>
      </c>
      <c r="AK5" s="9">
        <v>999.6</v>
      </c>
      <c r="AL5" s="9">
        <v>0</v>
      </c>
      <c r="AM5" s="9">
        <v>999.6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32623</v>
      </c>
      <c r="AU5" s="9">
        <v>0</v>
      </c>
      <c r="AV5" s="9">
        <v>32623</v>
      </c>
      <c r="AW5" s="9">
        <v>40289.800000000003</v>
      </c>
      <c r="AX5" s="9">
        <v>0</v>
      </c>
      <c r="AY5" s="9">
        <v>40289.800000000003</v>
      </c>
      <c r="AZ5" s="9">
        <v>483477.60000000003</v>
      </c>
      <c r="BA5" s="9">
        <v>0</v>
      </c>
      <c r="BB5" s="9">
        <v>483477.60000000003</v>
      </c>
      <c r="BC5" s="12" t="s">
        <v>130</v>
      </c>
      <c r="BD5" s="7"/>
      <c r="BE5" s="9">
        <v>1000</v>
      </c>
      <c r="BF5" s="9">
        <v>0</v>
      </c>
      <c r="BG5" s="9">
        <v>1000</v>
      </c>
      <c r="BH5" s="9">
        <v>1600</v>
      </c>
      <c r="BI5" s="9">
        <v>0</v>
      </c>
      <c r="BJ5" s="9">
        <v>1600</v>
      </c>
      <c r="BK5" s="9">
        <v>0</v>
      </c>
      <c r="BL5" s="9">
        <v>0</v>
      </c>
      <c r="BM5" s="9">
        <v>0</v>
      </c>
      <c r="BN5" s="9">
        <v>3300</v>
      </c>
      <c r="BO5" s="9">
        <v>0</v>
      </c>
      <c r="BP5" s="9">
        <v>3300</v>
      </c>
      <c r="BQ5" s="9">
        <v>4290</v>
      </c>
      <c r="BR5" s="9">
        <v>0</v>
      </c>
      <c r="BS5" s="9">
        <v>4290</v>
      </c>
      <c r="BT5" s="9">
        <v>0</v>
      </c>
      <c r="BU5" s="9">
        <v>0</v>
      </c>
      <c r="BV5" s="9">
        <v>0</v>
      </c>
      <c r="BW5" s="9">
        <v>990</v>
      </c>
      <c r="BX5" s="13">
        <v>0</v>
      </c>
      <c r="BY5" s="9">
        <v>990</v>
      </c>
      <c r="BZ5" s="9">
        <v>0</v>
      </c>
      <c r="CA5" s="9">
        <v>0</v>
      </c>
      <c r="CB5" s="9">
        <v>0</v>
      </c>
      <c r="CC5" s="9">
        <v>0</v>
      </c>
      <c r="CD5" s="9">
        <v>40290</v>
      </c>
      <c r="CF5" s="5"/>
    </row>
    <row r="6" spans="1:84" x14ac:dyDescent="0.3">
      <c r="A6" s="7">
        <f t="shared" si="0"/>
        <v>5</v>
      </c>
      <c r="B6" s="1" t="s">
        <v>92</v>
      </c>
      <c r="C6" s="2" t="s">
        <v>107</v>
      </c>
      <c r="D6" s="3" t="s">
        <v>118</v>
      </c>
      <c r="E6" s="4" t="s">
        <v>123</v>
      </c>
      <c r="F6" s="7"/>
      <c r="G6" s="7">
        <v>103</v>
      </c>
      <c r="H6" s="7"/>
      <c r="I6" s="7"/>
      <c r="J6" s="7" t="s">
        <v>79</v>
      </c>
      <c r="K6" s="7" t="s">
        <v>144</v>
      </c>
      <c r="L6" s="7"/>
      <c r="M6" s="7"/>
      <c r="N6" s="9">
        <v>21551</v>
      </c>
      <c r="O6" s="10">
        <v>6.25</v>
      </c>
      <c r="P6" s="11">
        <v>2.8198375851110358</v>
      </c>
      <c r="Q6" s="11" t="s">
        <v>87</v>
      </c>
      <c r="R6" s="7"/>
      <c r="S6" s="9">
        <v>5000</v>
      </c>
      <c r="T6" s="9">
        <v>203.60000000000002</v>
      </c>
      <c r="U6" s="9">
        <v>5203.6000000000004</v>
      </c>
      <c r="V6" s="9">
        <v>4500</v>
      </c>
      <c r="W6" s="9">
        <v>229</v>
      </c>
      <c r="X6" s="9">
        <v>4729</v>
      </c>
      <c r="Y6" s="9">
        <v>3534</v>
      </c>
      <c r="Z6" s="9">
        <v>10</v>
      </c>
      <c r="AA6" s="9">
        <v>3544</v>
      </c>
      <c r="AB6" s="9">
        <v>0</v>
      </c>
      <c r="AC6" s="9">
        <v>0</v>
      </c>
      <c r="AD6" s="9">
        <v>0</v>
      </c>
      <c r="AE6" s="9">
        <v>1336.08</v>
      </c>
      <c r="AF6" s="9">
        <v>25.632000000000289</v>
      </c>
      <c r="AG6" s="9">
        <v>1361.7120000000002</v>
      </c>
      <c r="AH6" s="9">
        <v>240.49999999999997</v>
      </c>
      <c r="AI6" s="9">
        <v>9.7931600000000287</v>
      </c>
      <c r="AJ6" s="9">
        <v>250.29316</v>
      </c>
      <c r="AK6" s="9">
        <v>416.5</v>
      </c>
      <c r="AL6" s="9">
        <v>16.959880000000055</v>
      </c>
      <c r="AM6" s="9">
        <v>433.45988000000006</v>
      </c>
      <c r="AN6" s="9">
        <v>0</v>
      </c>
      <c r="AO6" s="9">
        <v>0</v>
      </c>
      <c r="AP6" s="9">
        <v>0</v>
      </c>
      <c r="AQ6" s="9">
        <v>97.754999999999995</v>
      </c>
      <c r="AR6" s="9">
        <v>3.319500000000005</v>
      </c>
      <c r="AS6" s="9">
        <v>101.0745</v>
      </c>
      <c r="AT6" s="9">
        <v>15634</v>
      </c>
      <c r="AU6" s="9">
        <v>442.6</v>
      </c>
      <c r="AV6" s="9">
        <v>16076.6</v>
      </c>
      <c r="AW6" s="9">
        <v>21040.685000000001</v>
      </c>
      <c r="AX6" s="9">
        <v>509.36953999999969</v>
      </c>
      <c r="AY6" s="9">
        <v>21550.054540000001</v>
      </c>
      <c r="AZ6" s="9">
        <v>252488.22000000003</v>
      </c>
      <c r="BA6" s="9">
        <v>6112.4344799999963</v>
      </c>
      <c r="BB6" s="9">
        <v>258600.65448000003</v>
      </c>
      <c r="BC6" s="12" t="s">
        <v>131</v>
      </c>
      <c r="BD6" s="7"/>
      <c r="BE6" s="9">
        <v>1000</v>
      </c>
      <c r="BF6" s="9">
        <v>0</v>
      </c>
      <c r="BG6" s="9">
        <v>1000</v>
      </c>
      <c r="BH6" s="9">
        <v>1600</v>
      </c>
      <c r="BI6" s="9">
        <v>0</v>
      </c>
      <c r="BJ6" s="9">
        <v>1600</v>
      </c>
      <c r="BK6" s="9">
        <v>0</v>
      </c>
      <c r="BL6" s="9">
        <v>0</v>
      </c>
      <c r="BM6" s="9">
        <v>0</v>
      </c>
      <c r="BN6" s="9">
        <v>2300</v>
      </c>
      <c r="BO6" s="9">
        <v>0</v>
      </c>
      <c r="BP6" s="9">
        <v>2300</v>
      </c>
      <c r="BQ6" s="9">
        <v>2990</v>
      </c>
      <c r="BR6" s="9">
        <v>0</v>
      </c>
      <c r="BS6" s="9">
        <v>2990</v>
      </c>
      <c r="BT6" s="9">
        <v>0</v>
      </c>
      <c r="BU6" s="9">
        <v>0</v>
      </c>
      <c r="BV6" s="9">
        <v>0</v>
      </c>
      <c r="BW6" s="9">
        <v>690</v>
      </c>
      <c r="BX6" s="13">
        <v>0</v>
      </c>
      <c r="BY6" s="9">
        <v>690</v>
      </c>
      <c r="BZ6" s="9">
        <v>0</v>
      </c>
      <c r="CA6" s="9">
        <v>0</v>
      </c>
      <c r="CB6" s="9">
        <v>0</v>
      </c>
      <c r="CC6" s="9">
        <v>0</v>
      </c>
      <c r="CD6" s="9">
        <v>21551</v>
      </c>
      <c r="CF6" s="5"/>
    </row>
    <row r="7" spans="1:84" ht="27.6" x14ac:dyDescent="0.3">
      <c r="A7" s="7">
        <f t="shared" si="0"/>
        <v>6</v>
      </c>
      <c r="B7" s="1" t="s">
        <v>93</v>
      </c>
      <c r="C7" s="2" t="s">
        <v>108</v>
      </c>
      <c r="D7" s="3" t="s">
        <v>118</v>
      </c>
      <c r="E7" s="4" t="s">
        <v>126</v>
      </c>
      <c r="F7" s="7"/>
      <c r="G7" s="7">
        <v>103</v>
      </c>
      <c r="H7" s="7"/>
      <c r="I7" s="7"/>
      <c r="J7" s="7" t="s">
        <v>79</v>
      </c>
      <c r="K7" s="7" t="s">
        <v>143</v>
      </c>
      <c r="L7" s="7"/>
      <c r="M7" s="7"/>
      <c r="N7" s="9">
        <v>37432</v>
      </c>
      <c r="O7" s="10">
        <v>6.25</v>
      </c>
      <c r="P7" s="11">
        <v>1.975396771672441</v>
      </c>
      <c r="Q7" s="11" t="s">
        <v>80</v>
      </c>
      <c r="R7" s="7"/>
      <c r="S7" s="9">
        <v>12000</v>
      </c>
      <c r="T7" s="9">
        <v>256.8</v>
      </c>
      <c r="U7" s="9">
        <v>12256.8</v>
      </c>
      <c r="V7" s="9">
        <v>11000</v>
      </c>
      <c r="W7" s="9">
        <v>321</v>
      </c>
      <c r="X7" s="9">
        <v>11321</v>
      </c>
      <c r="Y7" s="9">
        <v>3523</v>
      </c>
      <c r="Z7" s="9">
        <v>30.456480000000738</v>
      </c>
      <c r="AA7" s="9">
        <v>3553.4564800000007</v>
      </c>
      <c r="AB7" s="9">
        <v>0</v>
      </c>
      <c r="AC7" s="9">
        <v>0</v>
      </c>
      <c r="AD7" s="9">
        <v>0</v>
      </c>
      <c r="AE7" s="9">
        <v>1800</v>
      </c>
      <c r="AF7" s="9">
        <v>0</v>
      </c>
      <c r="AG7" s="9">
        <v>1800</v>
      </c>
      <c r="AH7" s="9">
        <v>577.19999999999993</v>
      </c>
      <c r="AI7" s="9">
        <v>12.352080000000001</v>
      </c>
      <c r="AJ7" s="9">
        <v>589.55207999999993</v>
      </c>
      <c r="AK7" s="9">
        <v>999.6</v>
      </c>
      <c r="AL7" s="9">
        <v>21.391439999999989</v>
      </c>
      <c r="AM7" s="9">
        <v>1020.99144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29123</v>
      </c>
      <c r="AU7" s="9">
        <v>608.25648000000069</v>
      </c>
      <c r="AV7" s="9">
        <v>29731.25648</v>
      </c>
      <c r="AW7" s="9">
        <v>36789.800000000003</v>
      </c>
      <c r="AX7" s="9">
        <v>642</v>
      </c>
      <c r="AY7" s="9">
        <v>37431.800000000003</v>
      </c>
      <c r="AZ7" s="9">
        <v>441477.60000000003</v>
      </c>
      <c r="BA7" s="9">
        <v>7704</v>
      </c>
      <c r="BB7" s="9">
        <v>449181.60000000003</v>
      </c>
      <c r="BC7" s="12" t="s">
        <v>132</v>
      </c>
      <c r="BD7" s="7"/>
      <c r="BE7" s="9">
        <v>1000</v>
      </c>
      <c r="BF7" s="9">
        <v>0</v>
      </c>
      <c r="BG7" s="9">
        <v>1000</v>
      </c>
      <c r="BH7" s="9">
        <v>1600</v>
      </c>
      <c r="BI7" s="9">
        <v>0</v>
      </c>
      <c r="BJ7" s="9">
        <v>1600</v>
      </c>
      <c r="BK7" s="9">
        <v>0</v>
      </c>
      <c r="BL7" s="9">
        <v>0</v>
      </c>
      <c r="BM7" s="9">
        <v>0</v>
      </c>
      <c r="BN7" s="9">
        <v>3300</v>
      </c>
      <c r="BO7" s="9">
        <v>0</v>
      </c>
      <c r="BP7" s="9">
        <v>3300</v>
      </c>
      <c r="BQ7" s="9">
        <v>4290</v>
      </c>
      <c r="BR7" s="9">
        <v>0</v>
      </c>
      <c r="BS7" s="9">
        <v>4290</v>
      </c>
      <c r="BT7" s="9">
        <v>0</v>
      </c>
      <c r="BU7" s="9">
        <v>0</v>
      </c>
      <c r="BV7" s="9">
        <v>0</v>
      </c>
      <c r="BW7" s="9">
        <v>990</v>
      </c>
      <c r="BX7" s="13">
        <v>0</v>
      </c>
      <c r="BY7" s="9">
        <v>990</v>
      </c>
      <c r="BZ7" s="9">
        <v>0</v>
      </c>
      <c r="CA7" s="9">
        <v>0</v>
      </c>
      <c r="CB7" s="9">
        <v>0</v>
      </c>
      <c r="CC7" s="9">
        <v>0</v>
      </c>
      <c r="CD7" s="9">
        <v>37432</v>
      </c>
      <c r="CF7" s="5"/>
    </row>
    <row r="8" spans="1:84" ht="41.4" x14ac:dyDescent="0.3">
      <c r="A8" s="7">
        <f t="shared" si="0"/>
        <v>7</v>
      </c>
      <c r="B8" s="1" t="s">
        <v>94</v>
      </c>
      <c r="C8" s="2" t="s">
        <v>109</v>
      </c>
      <c r="D8" s="3" t="s">
        <v>118</v>
      </c>
      <c r="E8" s="4" t="s">
        <v>123</v>
      </c>
      <c r="F8" s="7"/>
      <c r="G8" s="7">
        <v>113</v>
      </c>
      <c r="H8" s="7"/>
      <c r="I8" s="7"/>
      <c r="J8" s="7" t="s">
        <v>79</v>
      </c>
      <c r="K8" s="7" t="s">
        <v>84</v>
      </c>
      <c r="L8" s="7"/>
      <c r="M8" s="7"/>
      <c r="N8" s="9">
        <v>25704</v>
      </c>
      <c r="O8" s="10">
        <v>6.25</v>
      </c>
      <c r="P8" s="11">
        <v>3.7171058677644155</v>
      </c>
      <c r="Q8" s="11" t="s">
        <v>80</v>
      </c>
      <c r="R8" s="7"/>
      <c r="S8" s="9">
        <v>6000</v>
      </c>
      <c r="T8" s="9">
        <v>325.60000000000002</v>
      </c>
      <c r="U8" s="9">
        <v>6325.6</v>
      </c>
      <c r="V8" s="9">
        <v>5500</v>
      </c>
      <c r="W8" s="9">
        <v>366</v>
      </c>
      <c r="X8" s="9">
        <v>5866</v>
      </c>
      <c r="Y8" s="9">
        <v>4863</v>
      </c>
      <c r="Z8" s="9">
        <v>16</v>
      </c>
      <c r="AA8" s="9">
        <v>4879</v>
      </c>
      <c r="AB8" s="9">
        <v>0</v>
      </c>
      <c r="AC8" s="9">
        <v>0</v>
      </c>
      <c r="AD8" s="9">
        <v>0</v>
      </c>
      <c r="AE8" s="9">
        <v>1615.56</v>
      </c>
      <c r="AF8" s="9">
        <v>40.991999999999962</v>
      </c>
      <c r="AG8" s="9">
        <v>1656.5519999999999</v>
      </c>
      <c r="AH8" s="9">
        <v>288.59999999999997</v>
      </c>
      <c r="AI8" s="9">
        <v>15.661360000000002</v>
      </c>
      <c r="AJ8" s="9">
        <v>304.26135999999997</v>
      </c>
      <c r="AK8" s="9">
        <v>499.8</v>
      </c>
      <c r="AL8" s="9">
        <v>27.122480000000053</v>
      </c>
      <c r="AM8" s="9">
        <v>526.92248000000006</v>
      </c>
      <c r="AN8" s="9">
        <v>0</v>
      </c>
      <c r="AO8" s="9">
        <v>0</v>
      </c>
      <c r="AP8" s="9">
        <v>0</v>
      </c>
      <c r="AQ8" s="9">
        <v>122.7225</v>
      </c>
      <c r="AR8" s="9">
        <v>5.3069999999999879</v>
      </c>
      <c r="AS8" s="9">
        <v>128.02949999999998</v>
      </c>
      <c r="AT8" s="9">
        <v>18963</v>
      </c>
      <c r="AU8" s="9">
        <v>707.6</v>
      </c>
      <c r="AV8" s="9">
        <v>19670.599999999999</v>
      </c>
      <c r="AW8" s="9">
        <v>24888.7575</v>
      </c>
      <c r="AX8" s="9">
        <v>814.37284</v>
      </c>
      <c r="AY8" s="9">
        <v>25703.13034</v>
      </c>
      <c r="AZ8" s="9">
        <v>298665.08999999997</v>
      </c>
      <c r="BA8" s="9">
        <v>9772.4740800000145</v>
      </c>
      <c r="BB8" s="9">
        <v>308437.56407999998</v>
      </c>
      <c r="BC8" s="12" t="s">
        <v>133</v>
      </c>
      <c r="BD8" s="7"/>
      <c r="BE8" s="9">
        <v>1000</v>
      </c>
      <c r="BF8" s="9">
        <v>0</v>
      </c>
      <c r="BG8" s="9">
        <v>1000</v>
      </c>
      <c r="BH8" s="9">
        <v>1600</v>
      </c>
      <c r="BI8" s="9">
        <v>0</v>
      </c>
      <c r="BJ8" s="9">
        <v>1600</v>
      </c>
      <c r="BK8" s="9">
        <v>0</v>
      </c>
      <c r="BL8" s="9">
        <v>0</v>
      </c>
      <c r="BM8" s="9">
        <v>0</v>
      </c>
      <c r="BN8" s="9">
        <v>2300</v>
      </c>
      <c r="BO8" s="9">
        <v>0</v>
      </c>
      <c r="BP8" s="9">
        <v>2300</v>
      </c>
      <c r="BQ8" s="9">
        <v>2990</v>
      </c>
      <c r="BR8" s="9">
        <v>0</v>
      </c>
      <c r="BS8" s="9">
        <v>2990</v>
      </c>
      <c r="BT8" s="9">
        <v>0</v>
      </c>
      <c r="BU8" s="9">
        <v>0</v>
      </c>
      <c r="BV8" s="9">
        <v>0</v>
      </c>
      <c r="BW8" s="9">
        <v>690</v>
      </c>
      <c r="BX8" s="13">
        <v>0</v>
      </c>
      <c r="BY8" s="9">
        <v>690</v>
      </c>
      <c r="BZ8" s="9">
        <v>0</v>
      </c>
      <c r="CA8" s="9">
        <v>0</v>
      </c>
      <c r="CB8" s="9">
        <v>0</v>
      </c>
      <c r="CC8" s="9">
        <v>0</v>
      </c>
      <c r="CD8" s="9">
        <v>25704</v>
      </c>
      <c r="CF8" s="5"/>
    </row>
    <row r="9" spans="1:84" x14ac:dyDescent="0.3">
      <c r="A9" s="7">
        <f t="shared" si="0"/>
        <v>8</v>
      </c>
      <c r="B9" s="1" t="s">
        <v>95</v>
      </c>
      <c r="C9" s="2" t="s">
        <v>110</v>
      </c>
      <c r="D9" s="3" t="s">
        <v>118</v>
      </c>
      <c r="E9" s="4" t="s">
        <v>123</v>
      </c>
      <c r="F9" s="7"/>
      <c r="G9" s="7">
        <v>106</v>
      </c>
      <c r="H9" s="7"/>
      <c r="I9" s="7"/>
      <c r="J9" s="7" t="s">
        <v>79</v>
      </c>
      <c r="K9" s="7" t="s">
        <v>145</v>
      </c>
      <c r="L9" s="7"/>
      <c r="M9" s="7"/>
      <c r="N9" s="9">
        <v>24990</v>
      </c>
      <c r="O9" s="10">
        <v>6.25</v>
      </c>
      <c r="P9" s="11">
        <v>0</v>
      </c>
      <c r="Q9" s="11" t="s">
        <v>80</v>
      </c>
      <c r="R9" s="7"/>
      <c r="S9" s="9">
        <v>6000</v>
      </c>
      <c r="T9" s="9">
        <v>0</v>
      </c>
      <c r="U9" s="9">
        <v>6000</v>
      </c>
      <c r="V9" s="9">
        <v>5500</v>
      </c>
      <c r="W9" s="9">
        <v>0</v>
      </c>
      <c r="X9" s="9">
        <v>5500</v>
      </c>
      <c r="Y9" s="9">
        <v>4950</v>
      </c>
      <c r="Z9" s="9">
        <v>0</v>
      </c>
      <c r="AA9" s="9">
        <v>4950</v>
      </c>
      <c r="AB9" s="9">
        <v>0</v>
      </c>
      <c r="AC9" s="9">
        <v>0</v>
      </c>
      <c r="AD9" s="9">
        <v>0</v>
      </c>
      <c r="AE9" s="9">
        <v>1626</v>
      </c>
      <c r="AF9" s="9">
        <v>0</v>
      </c>
      <c r="AG9" s="9">
        <v>1626</v>
      </c>
      <c r="AH9" s="9">
        <v>288.59999999999997</v>
      </c>
      <c r="AI9" s="9">
        <v>0</v>
      </c>
      <c r="AJ9" s="9">
        <v>288.59999999999997</v>
      </c>
      <c r="AK9" s="9">
        <v>499.8</v>
      </c>
      <c r="AL9" s="9">
        <v>0</v>
      </c>
      <c r="AM9" s="9">
        <v>499.8</v>
      </c>
      <c r="AN9" s="9">
        <v>0</v>
      </c>
      <c r="AO9" s="9">
        <v>0</v>
      </c>
      <c r="AP9" s="9">
        <v>0</v>
      </c>
      <c r="AQ9" s="9">
        <v>123.375</v>
      </c>
      <c r="AR9" s="9">
        <v>0</v>
      </c>
      <c r="AS9" s="9">
        <v>123.375</v>
      </c>
      <c r="AT9" s="9">
        <v>19050</v>
      </c>
      <c r="AU9" s="9">
        <v>0</v>
      </c>
      <c r="AV9" s="9">
        <v>19050</v>
      </c>
      <c r="AW9" s="9">
        <v>24989.025000000001</v>
      </c>
      <c r="AX9" s="9">
        <v>0</v>
      </c>
      <c r="AY9" s="9">
        <v>24989.025000000001</v>
      </c>
      <c r="AZ9" s="9">
        <v>299868.30000000005</v>
      </c>
      <c r="BA9" s="9">
        <v>0</v>
      </c>
      <c r="BB9" s="9">
        <v>299868.30000000005</v>
      </c>
      <c r="BC9" s="12" t="s">
        <v>134</v>
      </c>
      <c r="BD9" s="7"/>
      <c r="BE9" s="9">
        <v>1000</v>
      </c>
      <c r="BF9" s="9">
        <v>0</v>
      </c>
      <c r="BG9" s="9">
        <v>1000</v>
      </c>
      <c r="BH9" s="9">
        <v>1600</v>
      </c>
      <c r="BI9" s="9">
        <v>0</v>
      </c>
      <c r="BJ9" s="9">
        <v>1600</v>
      </c>
      <c r="BK9" s="9">
        <v>0</v>
      </c>
      <c r="BL9" s="9">
        <v>0</v>
      </c>
      <c r="BM9" s="9">
        <v>0</v>
      </c>
      <c r="BN9" s="9">
        <v>2300</v>
      </c>
      <c r="BO9" s="9">
        <v>0</v>
      </c>
      <c r="BP9" s="9">
        <v>2300</v>
      </c>
      <c r="BQ9" s="9">
        <v>2990</v>
      </c>
      <c r="BR9" s="9">
        <v>0</v>
      </c>
      <c r="BS9" s="9">
        <v>2990</v>
      </c>
      <c r="BT9" s="9">
        <v>0</v>
      </c>
      <c r="BU9" s="9">
        <v>0</v>
      </c>
      <c r="BV9" s="9">
        <v>0</v>
      </c>
      <c r="BW9" s="9">
        <v>690</v>
      </c>
      <c r="BX9" s="13">
        <v>0</v>
      </c>
      <c r="BY9" s="9">
        <v>690</v>
      </c>
      <c r="BZ9" s="9">
        <v>0</v>
      </c>
      <c r="CA9" s="9">
        <v>0</v>
      </c>
      <c r="CB9" s="9">
        <v>0</v>
      </c>
      <c r="CC9" s="9">
        <v>0</v>
      </c>
      <c r="CD9" s="9">
        <v>24990</v>
      </c>
      <c r="CF9" s="5"/>
    </row>
    <row r="10" spans="1:84" ht="27.6" x14ac:dyDescent="0.3">
      <c r="A10" s="7">
        <f t="shared" si="0"/>
        <v>9</v>
      </c>
      <c r="B10" s="1" t="s">
        <v>96</v>
      </c>
      <c r="C10" s="2" t="s">
        <v>111</v>
      </c>
      <c r="D10" s="3" t="s">
        <v>118</v>
      </c>
      <c r="E10" s="4" t="s">
        <v>123</v>
      </c>
      <c r="F10" s="7"/>
      <c r="G10" s="7">
        <v>115</v>
      </c>
      <c r="H10" s="7"/>
      <c r="I10" s="7"/>
      <c r="J10" s="7" t="s">
        <v>79</v>
      </c>
      <c r="K10" s="7" t="s">
        <v>85</v>
      </c>
      <c r="L10" s="7"/>
      <c r="M10" s="7"/>
      <c r="N10" s="9">
        <v>25303</v>
      </c>
      <c r="O10" s="10">
        <v>6.25</v>
      </c>
      <c r="P10" s="11">
        <v>1.8905182177573316</v>
      </c>
      <c r="Q10" s="11" t="s">
        <v>151</v>
      </c>
      <c r="R10" s="7"/>
      <c r="S10" s="9">
        <v>6000</v>
      </c>
      <c r="T10" s="9">
        <v>165.60000000000002</v>
      </c>
      <c r="U10" s="9">
        <v>6165.6</v>
      </c>
      <c r="V10" s="9">
        <v>5500</v>
      </c>
      <c r="W10" s="9">
        <v>186</v>
      </c>
      <c r="X10" s="9">
        <v>5686</v>
      </c>
      <c r="Y10" s="9">
        <v>4863</v>
      </c>
      <c r="Z10" s="9">
        <v>8</v>
      </c>
      <c r="AA10" s="9">
        <v>4871</v>
      </c>
      <c r="AB10" s="9">
        <v>0</v>
      </c>
      <c r="AC10" s="9">
        <v>0</v>
      </c>
      <c r="AD10" s="9">
        <v>0</v>
      </c>
      <c r="AE10" s="9">
        <v>1615.56</v>
      </c>
      <c r="AF10" s="9">
        <v>20.83199999999988</v>
      </c>
      <c r="AG10" s="9">
        <v>1636.3919999999998</v>
      </c>
      <c r="AH10" s="9">
        <v>288.59999999999997</v>
      </c>
      <c r="AI10" s="9">
        <v>7.9653600000000324</v>
      </c>
      <c r="AJ10" s="9">
        <v>296.56536</v>
      </c>
      <c r="AK10" s="9">
        <v>499.8</v>
      </c>
      <c r="AL10" s="9">
        <v>13.794480000000078</v>
      </c>
      <c r="AM10" s="9">
        <v>513.59448000000009</v>
      </c>
      <c r="AN10" s="9">
        <v>0</v>
      </c>
      <c r="AO10" s="9">
        <v>0</v>
      </c>
      <c r="AP10" s="9">
        <v>0</v>
      </c>
      <c r="AQ10" s="9">
        <v>122.7225</v>
      </c>
      <c r="AR10" s="9">
        <v>2.6969999999999885</v>
      </c>
      <c r="AS10" s="9">
        <v>125.41949999999999</v>
      </c>
      <c r="AT10" s="9">
        <v>18963</v>
      </c>
      <c r="AU10" s="9">
        <v>359.6</v>
      </c>
      <c r="AV10" s="9">
        <v>19322.599999999999</v>
      </c>
      <c r="AW10" s="9">
        <v>24888.7575</v>
      </c>
      <c r="AX10" s="9">
        <v>413.87883999999758</v>
      </c>
      <c r="AY10" s="9">
        <v>25302.636339999997</v>
      </c>
      <c r="AZ10" s="9">
        <v>298665.08999999997</v>
      </c>
      <c r="BA10" s="9">
        <v>4966.5460800000001</v>
      </c>
      <c r="BB10" s="9">
        <v>303631.63607999997</v>
      </c>
      <c r="BC10" s="12" t="s">
        <v>135</v>
      </c>
      <c r="BD10" s="7"/>
      <c r="BE10" s="9">
        <v>1000</v>
      </c>
      <c r="BF10" s="9">
        <v>0</v>
      </c>
      <c r="BG10" s="9">
        <v>1000</v>
      </c>
      <c r="BH10" s="9">
        <v>1600</v>
      </c>
      <c r="BI10" s="9">
        <v>0</v>
      </c>
      <c r="BJ10" s="9">
        <v>1600</v>
      </c>
      <c r="BK10" s="9">
        <v>0</v>
      </c>
      <c r="BL10" s="9">
        <v>0</v>
      </c>
      <c r="BM10" s="9">
        <v>0</v>
      </c>
      <c r="BN10" s="9">
        <v>2300</v>
      </c>
      <c r="BO10" s="9">
        <v>0</v>
      </c>
      <c r="BP10" s="9">
        <v>2300</v>
      </c>
      <c r="BQ10" s="9">
        <v>2990</v>
      </c>
      <c r="BR10" s="9">
        <v>0</v>
      </c>
      <c r="BS10" s="9">
        <v>2990</v>
      </c>
      <c r="BT10" s="9">
        <v>0</v>
      </c>
      <c r="BU10" s="9">
        <v>0</v>
      </c>
      <c r="BV10" s="9">
        <v>0</v>
      </c>
      <c r="BW10" s="9">
        <v>690</v>
      </c>
      <c r="BX10" s="13">
        <v>0</v>
      </c>
      <c r="BY10" s="9">
        <v>690</v>
      </c>
      <c r="BZ10" s="9">
        <v>0</v>
      </c>
      <c r="CA10" s="9">
        <v>0</v>
      </c>
      <c r="CB10" s="9">
        <v>0</v>
      </c>
      <c r="CC10" s="9">
        <v>0</v>
      </c>
      <c r="CD10" s="9">
        <v>25303</v>
      </c>
      <c r="CF10" s="5"/>
    </row>
    <row r="11" spans="1:84" x14ac:dyDescent="0.3">
      <c r="A11" s="7">
        <f t="shared" si="0"/>
        <v>10</v>
      </c>
      <c r="B11" s="1" t="s">
        <v>97</v>
      </c>
      <c r="C11" s="2" t="s">
        <v>112</v>
      </c>
      <c r="D11" s="3" t="s">
        <v>118</v>
      </c>
      <c r="E11" s="4" t="s">
        <v>123</v>
      </c>
      <c r="F11" s="7"/>
      <c r="G11" s="7">
        <v>107</v>
      </c>
      <c r="H11" s="7"/>
      <c r="I11" s="7"/>
      <c r="J11" s="7" t="s">
        <v>79</v>
      </c>
      <c r="K11" s="7" t="s">
        <v>85</v>
      </c>
      <c r="L11" s="7"/>
      <c r="M11" s="7"/>
      <c r="N11" s="9">
        <v>26666</v>
      </c>
      <c r="O11" s="10">
        <v>6.25</v>
      </c>
      <c r="P11" s="11">
        <v>2.0517303284966806</v>
      </c>
      <c r="Q11" s="11" t="s">
        <v>151</v>
      </c>
      <c r="R11" s="7"/>
      <c r="S11" s="9">
        <v>6000</v>
      </c>
      <c r="T11" s="9">
        <v>190.4</v>
      </c>
      <c r="U11" s="9">
        <v>6190.4</v>
      </c>
      <c r="V11" s="9">
        <v>5500</v>
      </c>
      <c r="W11" s="9">
        <v>214</v>
      </c>
      <c r="X11" s="9">
        <v>5714</v>
      </c>
      <c r="Y11" s="9">
        <v>5992</v>
      </c>
      <c r="Z11" s="9">
        <v>9</v>
      </c>
      <c r="AA11" s="9">
        <v>6001</v>
      </c>
      <c r="AB11" s="9">
        <v>0</v>
      </c>
      <c r="AC11" s="9">
        <v>0</v>
      </c>
      <c r="AD11" s="9">
        <v>0</v>
      </c>
      <c r="AE11" s="9">
        <v>1751.04</v>
      </c>
      <c r="AF11" s="9">
        <v>23.928000000000111</v>
      </c>
      <c r="AG11" s="9">
        <v>1774.9680000000001</v>
      </c>
      <c r="AH11" s="9">
        <v>288.59999999999997</v>
      </c>
      <c r="AI11" s="9">
        <v>9.158239999999978</v>
      </c>
      <c r="AJ11" s="9">
        <v>297.75823999999994</v>
      </c>
      <c r="AK11" s="9">
        <v>499.8</v>
      </c>
      <c r="AL11" s="9">
        <v>15.860319999999945</v>
      </c>
      <c r="AM11" s="9">
        <v>515.66031999999996</v>
      </c>
      <c r="AN11" s="9">
        <v>0</v>
      </c>
      <c r="AO11" s="9">
        <v>0</v>
      </c>
      <c r="AP11" s="9">
        <v>0</v>
      </c>
      <c r="AQ11" s="9">
        <v>131.19</v>
      </c>
      <c r="AR11" s="9">
        <v>3.1005000000000109</v>
      </c>
      <c r="AS11" s="9">
        <v>134.29050000000001</v>
      </c>
      <c r="AT11" s="9">
        <v>20092</v>
      </c>
      <c r="AU11" s="9">
        <v>413.4</v>
      </c>
      <c r="AV11" s="9">
        <v>20505.400000000001</v>
      </c>
      <c r="AW11" s="9">
        <v>26189.93</v>
      </c>
      <c r="AX11" s="9">
        <v>475.78206000000137</v>
      </c>
      <c r="AY11" s="9">
        <v>26665.712060000002</v>
      </c>
      <c r="AZ11" s="9">
        <v>314279.16000000003</v>
      </c>
      <c r="BA11" s="9">
        <v>5709.3847199999727</v>
      </c>
      <c r="BB11" s="9">
        <v>319988.54472000001</v>
      </c>
      <c r="BC11" s="12" t="s">
        <v>136</v>
      </c>
      <c r="BD11" s="7"/>
      <c r="BE11" s="9">
        <v>1000</v>
      </c>
      <c r="BF11" s="9">
        <v>0</v>
      </c>
      <c r="BG11" s="9">
        <v>1000</v>
      </c>
      <c r="BH11" s="9">
        <v>1600</v>
      </c>
      <c r="BI11" s="9">
        <v>0</v>
      </c>
      <c r="BJ11" s="9">
        <v>1600</v>
      </c>
      <c r="BK11" s="9">
        <v>0</v>
      </c>
      <c r="BL11" s="9">
        <v>0</v>
      </c>
      <c r="BM11" s="9">
        <v>0</v>
      </c>
      <c r="BN11" s="9">
        <v>2300</v>
      </c>
      <c r="BO11" s="9">
        <v>0</v>
      </c>
      <c r="BP11" s="9">
        <v>2300</v>
      </c>
      <c r="BQ11" s="9">
        <v>2990</v>
      </c>
      <c r="BR11" s="9">
        <v>0</v>
      </c>
      <c r="BS11" s="9">
        <v>2990</v>
      </c>
      <c r="BT11" s="9">
        <v>0</v>
      </c>
      <c r="BU11" s="9">
        <v>0</v>
      </c>
      <c r="BV11" s="9">
        <v>0</v>
      </c>
      <c r="BW11" s="9">
        <v>690</v>
      </c>
      <c r="BX11" s="13">
        <v>0</v>
      </c>
      <c r="BY11" s="9">
        <v>690</v>
      </c>
      <c r="BZ11" s="9">
        <v>0</v>
      </c>
      <c r="CA11" s="9">
        <v>0</v>
      </c>
      <c r="CB11" s="9">
        <v>0</v>
      </c>
      <c r="CC11" s="9">
        <v>0</v>
      </c>
      <c r="CD11" s="9">
        <v>26666</v>
      </c>
      <c r="CF11" s="5"/>
    </row>
    <row r="12" spans="1:84" ht="27.6" x14ac:dyDescent="0.3">
      <c r="A12" s="7">
        <f t="shared" si="0"/>
        <v>11</v>
      </c>
      <c r="B12" s="1" t="s">
        <v>98</v>
      </c>
      <c r="C12" s="2" t="s">
        <v>113</v>
      </c>
      <c r="D12" s="3" t="s">
        <v>118</v>
      </c>
      <c r="E12" s="4" t="s">
        <v>123</v>
      </c>
      <c r="F12" s="7"/>
      <c r="G12" s="7">
        <v>103</v>
      </c>
      <c r="H12" s="7"/>
      <c r="I12" s="7"/>
      <c r="J12" s="7" t="s">
        <v>79</v>
      </c>
      <c r="K12" s="7" t="s">
        <v>145</v>
      </c>
      <c r="L12" s="7"/>
      <c r="M12" s="7"/>
      <c r="N12" s="9">
        <v>26180</v>
      </c>
      <c r="O12" s="10">
        <v>6.25</v>
      </c>
      <c r="P12" s="11">
        <v>0</v>
      </c>
      <c r="Q12" s="11" t="s">
        <v>151</v>
      </c>
      <c r="R12" s="7"/>
      <c r="S12" s="9">
        <v>6000</v>
      </c>
      <c r="T12" s="9">
        <v>0</v>
      </c>
      <c r="U12" s="9">
        <v>6000</v>
      </c>
      <c r="V12" s="9">
        <v>5500</v>
      </c>
      <c r="W12" s="9">
        <v>0</v>
      </c>
      <c r="X12" s="9">
        <v>5500</v>
      </c>
      <c r="Y12" s="9">
        <v>5983</v>
      </c>
      <c r="Z12" s="9">
        <v>0</v>
      </c>
      <c r="AA12" s="9">
        <v>5983</v>
      </c>
      <c r="AB12" s="9">
        <v>0</v>
      </c>
      <c r="AC12" s="9">
        <v>0</v>
      </c>
      <c r="AD12" s="9">
        <v>0</v>
      </c>
      <c r="AE12" s="9">
        <v>1749.96</v>
      </c>
      <c r="AF12" s="9">
        <v>0</v>
      </c>
      <c r="AG12" s="9">
        <v>1749.96</v>
      </c>
      <c r="AH12" s="9">
        <v>288.59999999999997</v>
      </c>
      <c r="AI12" s="9">
        <v>0</v>
      </c>
      <c r="AJ12" s="9">
        <v>288.59999999999997</v>
      </c>
      <c r="AK12" s="9">
        <v>499.8</v>
      </c>
      <c r="AL12" s="9">
        <v>0</v>
      </c>
      <c r="AM12" s="9">
        <v>499.8</v>
      </c>
      <c r="AN12" s="9">
        <v>0</v>
      </c>
      <c r="AO12" s="9">
        <v>0</v>
      </c>
      <c r="AP12" s="9">
        <v>0</v>
      </c>
      <c r="AQ12" s="9">
        <v>131.1225</v>
      </c>
      <c r="AR12" s="9">
        <v>0</v>
      </c>
      <c r="AS12" s="9">
        <v>131.1225</v>
      </c>
      <c r="AT12" s="9">
        <v>20083</v>
      </c>
      <c r="AU12" s="9">
        <v>0</v>
      </c>
      <c r="AV12" s="9">
        <v>20083</v>
      </c>
      <c r="AW12" s="9">
        <v>26179.557499999999</v>
      </c>
      <c r="AX12" s="9">
        <v>0</v>
      </c>
      <c r="AY12" s="9">
        <v>26179.557499999999</v>
      </c>
      <c r="AZ12" s="9">
        <v>314154.69</v>
      </c>
      <c r="BA12" s="9">
        <v>0</v>
      </c>
      <c r="BB12" s="9">
        <v>314154.69</v>
      </c>
      <c r="BC12" s="12" t="s">
        <v>137</v>
      </c>
      <c r="BD12" s="7"/>
      <c r="BE12" s="9">
        <v>1000</v>
      </c>
      <c r="BF12" s="9">
        <v>0</v>
      </c>
      <c r="BG12" s="9">
        <v>1000</v>
      </c>
      <c r="BH12" s="9">
        <v>1600</v>
      </c>
      <c r="BI12" s="9">
        <v>0</v>
      </c>
      <c r="BJ12" s="9">
        <v>1600</v>
      </c>
      <c r="BK12" s="9">
        <v>0</v>
      </c>
      <c r="BL12" s="9">
        <v>0</v>
      </c>
      <c r="BM12" s="9">
        <v>0</v>
      </c>
      <c r="BN12" s="9">
        <v>2300</v>
      </c>
      <c r="BO12" s="9">
        <v>0</v>
      </c>
      <c r="BP12" s="9">
        <v>2300</v>
      </c>
      <c r="BQ12" s="9">
        <v>2990</v>
      </c>
      <c r="BR12" s="9">
        <v>0</v>
      </c>
      <c r="BS12" s="9">
        <v>2990</v>
      </c>
      <c r="BT12" s="9">
        <v>0</v>
      </c>
      <c r="BU12" s="9">
        <v>0</v>
      </c>
      <c r="BV12" s="9">
        <v>0</v>
      </c>
      <c r="BW12" s="9">
        <v>690</v>
      </c>
      <c r="BX12" s="13">
        <v>0</v>
      </c>
      <c r="BY12" s="9">
        <v>690</v>
      </c>
      <c r="BZ12" s="9">
        <v>0</v>
      </c>
      <c r="CA12" s="9">
        <v>0</v>
      </c>
      <c r="CB12" s="9">
        <v>0</v>
      </c>
      <c r="CC12" s="9">
        <v>0</v>
      </c>
      <c r="CD12" s="9">
        <v>26180</v>
      </c>
      <c r="CF12" s="5"/>
    </row>
    <row r="13" spans="1:84" x14ac:dyDescent="0.3">
      <c r="A13" s="7">
        <f t="shared" si="0"/>
        <v>12</v>
      </c>
      <c r="B13" s="1" t="s">
        <v>99</v>
      </c>
      <c r="C13" s="2" t="s">
        <v>114</v>
      </c>
      <c r="D13" s="3" t="s">
        <v>118</v>
      </c>
      <c r="E13" s="4" t="s">
        <v>123</v>
      </c>
      <c r="F13" s="7"/>
      <c r="G13" s="7">
        <v>101</v>
      </c>
      <c r="H13" s="7"/>
      <c r="I13" s="7"/>
      <c r="J13" s="7" t="s">
        <v>79</v>
      </c>
      <c r="K13" s="7" t="s">
        <v>84</v>
      </c>
      <c r="L13" s="7"/>
      <c r="M13" s="7"/>
      <c r="N13" s="9">
        <v>23441</v>
      </c>
      <c r="O13" s="10">
        <v>6.25</v>
      </c>
      <c r="P13" s="11">
        <v>2.768799349859782</v>
      </c>
      <c r="Q13" s="11" t="s">
        <v>151</v>
      </c>
      <c r="R13" s="7"/>
      <c r="S13" s="9">
        <v>6000</v>
      </c>
      <c r="T13" s="9">
        <v>220.4</v>
      </c>
      <c r="U13" s="9">
        <v>6220.4</v>
      </c>
      <c r="V13" s="9">
        <v>5500</v>
      </c>
      <c r="W13" s="9">
        <v>248</v>
      </c>
      <c r="X13" s="9">
        <v>5748</v>
      </c>
      <c r="Y13" s="9">
        <v>3129</v>
      </c>
      <c r="Z13" s="9">
        <v>10</v>
      </c>
      <c r="AA13" s="9">
        <v>3139</v>
      </c>
      <c r="AB13" s="9">
        <v>0</v>
      </c>
      <c r="AC13" s="9">
        <v>0</v>
      </c>
      <c r="AD13" s="9">
        <v>0</v>
      </c>
      <c r="AE13" s="9">
        <v>1407.48</v>
      </c>
      <c r="AF13" s="9">
        <v>27.648000000000138</v>
      </c>
      <c r="AG13" s="9">
        <v>1435.1280000000002</v>
      </c>
      <c r="AH13" s="9">
        <v>288.59999999999997</v>
      </c>
      <c r="AI13" s="9">
        <v>10.601240000000018</v>
      </c>
      <c r="AJ13" s="9">
        <v>299.20123999999998</v>
      </c>
      <c r="AK13" s="9">
        <v>499.8</v>
      </c>
      <c r="AL13" s="9">
        <v>18.359319999999968</v>
      </c>
      <c r="AM13" s="9">
        <v>518.15931999999998</v>
      </c>
      <c r="AN13" s="9">
        <v>0</v>
      </c>
      <c r="AO13" s="9">
        <v>0</v>
      </c>
      <c r="AP13" s="9">
        <v>0</v>
      </c>
      <c r="AQ13" s="9">
        <v>109.7175</v>
      </c>
      <c r="AR13" s="9">
        <v>3.5879999999999939</v>
      </c>
      <c r="AS13" s="9">
        <v>113.30549999999999</v>
      </c>
      <c r="AT13" s="9">
        <v>17229</v>
      </c>
      <c r="AU13" s="9">
        <v>478.4</v>
      </c>
      <c r="AV13" s="9">
        <v>17707.400000000001</v>
      </c>
      <c r="AW13" s="9">
        <v>22890.322500000002</v>
      </c>
      <c r="AX13" s="9">
        <v>550.55655999999726</v>
      </c>
      <c r="AY13" s="9">
        <v>23440.879059999999</v>
      </c>
      <c r="AZ13" s="9">
        <v>274683.87</v>
      </c>
      <c r="BA13" s="9">
        <v>6606.6787199999671</v>
      </c>
      <c r="BB13" s="9">
        <v>281290.54871999996</v>
      </c>
      <c r="BC13" s="12" t="s">
        <v>138</v>
      </c>
      <c r="BD13" s="7"/>
      <c r="BE13" s="9">
        <v>1000</v>
      </c>
      <c r="BF13" s="9">
        <v>0</v>
      </c>
      <c r="BG13" s="9">
        <v>1000</v>
      </c>
      <c r="BH13" s="9">
        <v>1600</v>
      </c>
      <c r="BI13" s="9">
        <v>0</v>
      </c>
      <c r="BJ13" s="9">
        <v>1600</v>
      </c>
      <c r="BK13" s="9">
        <v>0</v>
      </c>
      <c r="BL13" s="9">
        <v>0</v>
      </c>
      <c r="BM13" s="9">
        <v>0</v>
      </c>
      <c r="BN13" s="9">
        <v>2300</v>
      </c>
      <c r="BO13" s="9">
        <v>0</v>
      </c>
      <c r="BP13" s="9">
        <v>2300</v>
      </c>
      <c r="BQ13" s="9">
        <v>2990</v>
      </c>
      <c r="BR13" s="9">
        <v>0</v>
      </c>
      <c r="BS13" s="9">
        <v>2990</v>
      </c>
      <c r="BT13" s="9">
        <v>0</v>
      </c>
      <c r="BU13" s="9">
        <v>0</v>
      </c>
      <c r="BV13" s="9">
        <v>0</v>
      </c>
      <c r="BW13" s="9">
        <v>690</v>
      </c>
      <c r="BX13" s="13">
        <v>0</v>
      </c>
      <c r="BY13" s="9">
        <v>690</v>
      </c>
      <c r="BZ13" s="9">
        <v>0</v>
      </c>
      <c r="CA13" s="9">
        <v>0</v>
      </c>
      <c r="CB13" s="9">
        <v>0</v>
      </c>
      <c r="CC13" s="9">
        <v>0</v>
      </c>
      <c r="CD13" s="9">
        <v>23441</v>
      </c>
      <c r="CF13" s="5"/>
    </row>
    <row r="14" spans="1:84" ht="41.4" x14ac:dyDescent="0.3">
      <c r="A14" s="7">
        <f t="shared" si="0"/>
        <v>13</v>
      </c>
      <c r="B14" s="1" t="s">
        <v>100</v>
      </c>
      <c r="C14" s="2" t="s">
        <v>115</v>
      </c>
      <c r="D14" s="3" t="s">
        <v>118</v>
      </c>
      <c r="E14" s="4" t="s">
        <v>124</v>
      </c>
      <c r="F14" s="7"/>
      <c r="G14" s="7">
        <v>94</v>
      </c>
      <c r="H14" s="7"/>
      <c r="I14" s="7"/>
      <c r="J14" s="7" t="s">
        <v>79</v>
      </c>
      <c r="K14" s="7" t="s">
        <v>85</v>
      </c>
      <c r="L14" s="7"/>
      <c r="M14" s="7"/>
      <c r="N14" s="9">
        <v>105966</v>
      </c>
      <c r="O14" s="10">
        <v>6.25</v>
      </c>
      <c r="P14" s="11">
        <v>0</v>
      </c>
      <c r="Q14" s="11" t="s">
        <v>87</v>
      </c>
      <c r="R14" s="7"/>
      <c r="S14" s="9">
        <v>25000</v>
      </c>
      <c r="T14" s="9">
        <v>0</v>
      </c>
      <c r="U14" s="9">
        <v>25000</v>
      </c>
      <c r="V14" s="9">
        <v>11000</v>
      </c>
      <c r="W14" s="9">
        <v>0</v>
      </c>
      <c r="X14" s="9">
        <v>11000</v>
      </c>
      <c r="Y14" s="9">
        <v>43814</v>
      </c>
      <c r="Z14" s="9">
        <v>0</v>
      </c>
      <c r="AA14" s="9">
        <v>43814</v>
      </c>
      <c r="AB14" s="9">
        <v>0</v>
      </c>
      <c r="AC14" s="9">
        <v>0</v>
      </c>
      <c r="AD14" s="9">
        <v>0</v>
      </c>
      <c r="AE14" s="9">
        <v>1800</v>
      </c>
      <c r="AF14" s="9">
        <v>0</v>
      </c>
      <c r="AG14" s="9">
        <v>1800</v>
      </c>
      <c r="AH14" s="9">
        <v>1202.4999999999998</v>
      </c>
      <c r="AI14" s="9">
        <v>0</v>
      </c>
      <c r="AJ14" s="9">
        <v>1202.4999999999998</v>
      </c>
      <c r="AK14" s="9">
        <v>2082.5</v>
      </c>
      <c r="AL14" s="9">
        <v>0</v>
      </c>
      <c r="AM14" s="9">
        <v>2082.5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82414</v>
      </c>
      <c r="AU14" s="9">
        <v>0</v>
      </c>
      <c r="AV14" s="9">
        <v>82414</v>
      </c>
      <c r="AW14" s="9">
        <v>105966</v>
      </c>
      <c r="AX14" s="9">
        <v>0</v>
      </c>
      <c r="AY14" s="9">
        <v>105966</v>
      </c>
      <c r="AZ14" s="9">
        <v>1271592</v>
      </c>
      <c r="BA14" s="9">
        <v>0</v>
      </c>
      <c r="BB14" s="9">
        <v>1271592</v>
      </c>
      <c r="BC14" s="12" t="s">
        <v>139</v>
      </c>
      <c r="BD14" s="7"/>
      <c r="BE14" s="9">
        <v>1000</v>
      </c>
      <c r="BF14" s="9">
        <v>0</v>
      </c>
      <c r="BG14" s="9">
        <v>1000</v>
      </c>
      <c r="BH14" s="9">
        <v>1600</v>
      </c>
      <c r="BI14" s="9">
        <v>0</v>
      </c>
      <c r="BJ14" s="9">
        <v>1600</v>
      </c>
      <c r="BK14" s="9">
        <v>0</v>
      </c>
      <c r="BL14" s="9">
        <v>0</v>
      </c>
      <c r="BM14" s="9">
        <v>0</v>
      </c>
      <c r="BN14" s="9">
        <v>6000</v>
      </c>
      <c r="BO14" s="9">
        <v>0</v>
      </c>
      <c r="BP14" s="9">
        <v>6000</v>
      </c>
      <c r="BQ14" s="9">
        <v>18467</v>
      </c>
      <c r="BR14" s="9">
        <v>0</v>
      </c>
      <c r="BS14" s="9">
        <v>18467</v>
      </c>
      <c r="BT14" s="9">
        <v>0</v>
      </c>
      <c r="BU14" s="9">
        <v>0</v>
      </c>
      <c r="BV14" s="9">
        <v>0</v>
      </c>
      <c r="BW14" s="9">
        <v>1800</v>
      </c>
      <c r="BX14" s="13">
        <v>0</v>
      </c>
      <c r="BY14" s="9">
        <v>1800</v>
      </c>
      <c r="BZ14" s="9">
        <v>0</v>
      </c>
      <c r="CA14" s="9">
        <v>10667</v>
      </c>
      <c r="CB14" s="9">
        <v>0</v>
      </c>
      <c r="CC14" s="9">
        <v>10667</v>
      </c>
      <c r="CD14" s="9">
        <v>105966</v>
      </c>
      <c r="CF14" s="5"/>
    </row>
    <row r="15" spans="1:84" x14ac:dyDescent="0.3">
      <c r="A15" s="7">
        <f t="shared" si="0"/>
        <v>14</v>
      </c>
      <c r="B15" s="1" t="s">
        <v>101</v>
      </c>
      <c r="C15" s="2" t="s">
        <v>116</v>
      </c>
      <c r="D15" s="3" t="s">
        <v>118</v>
      </c>
      <c r="E15" s="4" t="s">
        <v>123</v>
      </c>
      <c r="F15" s="7"/>
      <c r="G15" s="7">
        <v>94</v>
      </c>
      <c r="H15" s="7"/>
      <c r="I15" s="7"/>
      <c r="J15" s="7" t="s">
        <v>79</v>
      </c>
      <c r="K15" s="7" t="s">
        <v>84</v>
      </c>
      <c r="L15" s="7"/>
      <c r="M15" s="7"/>
      <c r="N15" s="9">
        <v>25557</v>
      </c>
      <c r="O15" s="10">
        <v>6.25</v>
      </c>
      <c r="P15" s="11">
        <v>2.5773869523762984</v>
      </c>
      <c r="Q15" s="11" t="s">
        <v>87</v>
      </c>
      <c r="R15" s="7"/>
      <c r="S15" s="9">
        <v>6000</v>
      </c>
      <c r="T15" s="9">
        <v>226.8</v>
      </c>
      <c r="U15" s="9">
        <v>6226.8</v>
      </c>
      <c r="V15" s="9">
        <v>5500</v>
      </c>
      <c r="W15" s="9">
        <v>255</v>
      </c>
      <c r="X15" s="9">
        <v>5755</v>
      </c>
      <c r="Y15" s="9">
        <v>4950</v>
      </c>
      <c r="Z15" s="9">
        <v>11</v>
      </c>
      <c r="AA15" s="9">
        <v>4961</v>
      </c>
      <c r="AB15" s="9">
        <v>0</v>
      </c>
      <c r="AC15" s="9">
        <v>0</v>
      </c>
      <c r="AD15" s="9">
        <v>0</v>
      </c>
      <c r="AE15" s="9">
        <v>1626</v>
      </c>
      <c r="AF15" s="9">
        <v>28.535999999999831</v>
      </c>
      <c r="AG15" s="9">
        <v>1654.5359999999998</v>
      </c>
      <c r="AH15" s="9">
        <v>288.59999999999997</v>
      </c>
      <c r="AI15" s="9">
        <v>10.909080000000017</v>
      </c>
      <c r="AJ15" s="9">
        <v>299.50907999999998</v>
      </c>
      <c r="AK15" s="9">
        <v>499.8</v>
      </c>
      <c r="AL15" s="9">
        <v>18.892440000000022</v>
      </c>
      <c r="AM15" s="9">
        <v>518.69244000000003</v>
      </c>
      <c r="AN15" s="9">
        <v>0</v>
      </c>
      <c r="AO15" s="9">
        <v>0</v>
      </c>
      <c r="AP15" s="9">
        <v>0</v>
      </c>
      <c r="AQ15" s="9">
        <v>123.375</v>
      </c>
      <c r="AR15" s="9">
        <v>3.6959999999999837</v>
      </c>
      <c r="AS15" s="9">
        <v>127.07099999999998</v>
      </c>
      <c r="AT15" s="9">
        <v>19050</v>
      </c>
      <c r="AU15" s="9">
        <v>492.8</v>
      </c>
      <c r="AV15" s="9">
        <v>19542.8</v>
      </c>
      <c r="AW15" s="9">
        <v>24989.025000000001</v>
      </c>
      <c r="AX15" s="9">
        <v>567.15351999999621</v>
      </c>
      <c r="AY15" s="9">
        <v>25556.178519999998</v>
      </c>
      <c r="AZ15" s="9">
        <v>299868.30000000005</v>
      </c>
      <c r="BA15" s="9">
        <v>6805.8422399999108</v>
      </c>
      <c r="BB15" s="9">
        <v>306674.14223999996</v>
      </c>
      <c r="BC15" s="12" t="s">
        <v>140</v>
      </c>
      <c r="BD15" s="7"/>
      <c r="BE15" s="9">
        <v>1000</v>
      </c>
      <c r="BF15" s="9">
        <v>0</v>
      </c>
      <c r="BG15" s="9">
        <v>1000</v>
      </c>
      <c r="BH15" s="9">
        <v>1600</v>
      </c>
      <c r="BI15" s="9">
        <v>0</v>
      </c>
      <c r="BJ15" s="9">
        <v>1600</v>
      </c>
      <c r="BK15" s="9">
        <v>0</v>
      </c>
      <c r="BL15" s="9">
        <v>0</v>
      </c>
      <c r="BM15" s="9">
        <v>0</v>
      </c>
      <c r="BN15" s="9">
        <v>2300</v>
      </c>
      <c r="BO15" s="9">
        <v>0</v>
      </c>
      <c r="BP15" s="9">
        <v>2300</v>
      </c>
      <c r="BQ15" s="9">
        <v>2990</v>
      </c>
      <c r="BR15" s="9">
        <v>0</v>
      </c>
      <c r="BS15" s="9">
        <v>2990</v>
      </c>
      <c r="BT15" s="9">
        <v>0</v>
      </c>
      <c r="BU15" s="9">
        <v>0</v>
      </c>
      <c r="BV15" s="9">
        <v>0</v>
      </c>
      <c r="BW15" s="9">
        <v>690</v>
      </c>
      <c r="BX15" s="13">
        <v>0</v>
      </c>
      <c r="BY15" s="9">
        <v>690</v>
      </c>
      <c r="BZ15" s="9">
        <v>0</v>
      </c>
      <c r="CA15" s="9">
        <v>0</v>
      </c>
      <c r="CB15" s="9">
        <v>0</v>
      </c>
      <c r="CC15" s="9">
        <v>0</v>
      </c>
      <c r="CD15" s="9">
        <v>25557</v>
      </c>
      <c r="CF15" s="5"/>
    </row>
    <row r="16" spans="1:84" ht="27.6" x14ac:dyDescent="0.3">
      <c r="A16" s="7">
        <f t="shared" si="0"/>
        <v>15</v>
      </c>
      <c r="B16" s="1" t="s">
        <v>102</v>
      </c>
      <c r="C16" s="2" t="s">
        <v>117</v>
      </c>
      <c r="D16" s="3" t="s">
        <v>120</v>
      </c>
      <c r="E16" s="4" t="s">
        <v>127</v>
      </c>
      <c r="F16" s="7"/>
      <c r="G16" s="7">
        <v>365</v>
      </c>
      <c r="H16" s="7"/>
      <c r="I16" s="7"/>
      <c r="J16" s="7" t="s">
        <v>79</v>
      </c>
      <c r="K16" s="7"/>
      <c r="L16" s="7"/>
      <c r="M16" s="7"/>
      <c r="N16" s="9">
        <v>20410</v>
      </c>
      <c r="O16" s="10">
        <v>6.25</v>
      </c>
      <c r="P16" s="11">
        <v>32.263112132059369</v>
      </c>
      <c r="Q16" s="11" t="s">
        <v>80</v>
      </c>
      <c r="R16" s="7"/>
      <c r="S16" s="9">
        <v>5000</v>
      </c>
      <c r="T16" s="9">
        <v>2000</v>
      </c>
      <c r="U16" s="9">
        <v>7000</v>
      </c>
      <c r="V16" s="9">
        <v>4500</v>
      </c>
      <c r="W16" s="9">
        <v>2250</v>
      </c>
      <c r="X16" s="9">
        <v>6750</v>
      </c>
      <c r="Y16" s="9">
        <v>1242</v>
      </c>
      <c r="Z16" s="9">
        <v>95</v>
      </c>
      <c r="AA16" s="9">
        <v>1337</v>
      </c>
      <c r="AB16" s="9">
        <v>0</v>
      </c>
      <c r="AC16" s="9">
        <v>0</v>
      </c>
      <c r="AD16" s="9">
        <v>0</v>
      </c>
      <c r="AE16" s="9">
        <v>1061.04</v>
      </c>
      <c r="AF16" s="9">
        <v>251.40000000000009</v>
      </c>
      <c r="AG16" s="9">
        <v>1312.44</v>
      </c>
      <c r="AH16" s="9">
        <v>240.49999999999997</v>
      </c>
      <c r="AI16" s="9">
        <v>96.200000000000017</v>
      </c>
      <c r="AJ16" s="9">
        <v>336.7</v>
      </c>
      <c r="AK16" s="9">
        <v>416.5</v>
      </c>
      <c r="AL16" s="9">
        <v>166.60000000000002</v>
      </c>
      <c r="AM16" s="9">
        <v>583.1</v>
      </c>
      <c r="AN16" s="9">
        <v>0</v>
      </c>
      <c r="AO16" s="9">
        <v>0</v>
      </c>
      <c r="AP16" s="9">
        <v>0</v>
      </c>
      <c r="AQ16" s="9">
        <v>80.564999999999998</v>
      </c>
      <c r="AR16" s="9">
        <v>32.587500000000006</v>
      </c>
      <c r="AS16" s="9">
        <v>113.1525</v>
      </c>
      <c r="AT16" s="9">
        <v>13342</v>
      </c>
      <c r="AU16" s="9">
        <v>4345</v>
      </c>
      <c r="AV16" s="9">
        <v>17687</v>
      </c>
      <c r="AW16" s="9">
        <v>15409.154999999999</v>
      </c>
      <c r="AX16" s="9">
        <v>5000.4125000000022</v>
      </c>
      <c r="AY16" s="9">
        <v>20409.567500000001</v>
      </c>
      <c r="AZ16" s="9">
        <v>184909.86</v>
      </c>
      <c r="BA16" s="9">
        <v>60004.950000000012</v>
      </c>
      <c r="BB16" s="9">
        <v>244914.81</v>
      </c>
      <c r="BC16" s="12" t="s">
        <v>141</v>
      </c>
      <c r="BD16" s="7"/>
      <c r="BE16" s="9">
        <v>1000</v>
      </c>
      <c r="BF16" s="9">
        <v>0</v>
      </c>
      <c r="BG16" s="9">
        <v>1000</v>
      </c>
      <c r="BH16" s="9">
        <v>1600</v>
      </c>
      <c r="BI16" s="9">
        <v>0</v>
      </c>
      <c r="BJ16" s="9">
        <v>1600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13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20410</v>
      </c>
      <c r="CF16" s="5"/>
    </row>
    <row r="17" spans="1:84" x14ac:dyDescent="0.3">
      <c r="A17" s="7">
        <v>16</v>
      </c>
      <c r="B17" s="15" t="s">
        <v>149</v>
      </c>
      <c r="C17" s="2" t="s">
        <v>148</v>
      </c>
      <c r="D17" s="3" t="s">
        <v>150</v>
      </c>
      <c r="E17" s="4" t="s">
        <v>146</v>
      </c>
      <c r="F17" s="7"/>
      <c r="G17" s="7">
        <v>365</v>
      </c>
      <c r="H17" s="7"/>
      <c r="I17" s="7"/>
      <c r="J17" s="7" t="s">
        <v>79</v>
      </c>
      <c r="K17" s="7" t="s">
        <v>84</v>
      </c>
      <c r="L17" s="7"/>
      <c r="M17" s="16"/>
      <c r="N17" s="9">
        <v>51000</v>
      </c>
      <c r="O17" s="17">
        <v>6.25</v>
      </c>
      <c r="P17" s="17">
        <v>7.6563568660232537</v>
      </c>
      <c r="Q17" s="11" t="s">
        <v>151</v>
      </c>
      <c r="R17" s="7"/>
      <c r="S17" s="9">
        <v>16000</v>
      </c>
      <c r="T17" s="9">
        <v>1450.8000000000002</v>
      </c>
      <c r="U17" s="9">
        <v>17450.8</v>
      </c>
      <c r="V17" s="9">
        <v>6400</v>
      </c>
      <c r="W17" s="9">
        <v>1813.5</v>
      </c>
      <c r="X17" s="9">
        <v>8213.5</v>
      </c>
      <c r="Y17" s="9">
        <v>15070</v>
      </c>
      <c r="Z17" s="9">
        <v>172.06487999999808</v>
      </c>
      <c r="AA17" s="9">
        <v>15242.064879999998</v>
      </c>
      <c r="AB17" s="9">
        <v>0</v>
      </c>
      <c r="AC17" s="9">
        <v>0</v>
      </c>
      <c r="AD17" s="9">
        <v>0</v>
      </c>
      <c r="AE17" s="9">
        <v>1800</v>
      </c>
      <c r="AF17" s="9">
        <v>0</v>
      </c>
      <c r="AG17" s="9">
        <v>1800</v>
      </c>
      <c r="AH17" s="9">
        <v>769.6</v>
      </c>
      <c r="AI17" s="9">
        <v>69.783479999999827</v>
      </c>
      <c r="AJ17" s="9">
        <v>839.38347999999985</v>
      </c>
      <c r="AK17" s="9">
        <v>1332.8</v>
      </c>
      <c r="AL17" s="9">
        <v>120.85163999999986</v>
      </c>
      <c r="AM17" s="9">
        <v>1453.6516399999998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43470</v>
      </c>
      <c r="AU17" s="9">
        <v>3436.3648799999983</v>
      </c>
      <c r="AV17" s="9">
        <v>46906.364880000001</v>
      </c>
      <c r="AW17" s="9">
        <v>47372.4</v>
      </c>
      <c r="AX17" s="9">
        <v>3627</v>
      </c>
      <c r="AY17" s="9">
        <v>50999.4</v>
      </c>
      <c r="AZ17" s="9">
        <v>568468.80000000005</v>
      </c>
      <c r="BA17" s="9">
        <v>43524</v>
      </c>
      <c r="BB17" s="9">
        <v>611992.80000000005</v>
      </c>
      <c r="BC17" s="12" t="s">
        <v>147</v>
      </c>
      <c r="BD17" s="7"/>
      <c r="BE17" s="9">
        <v>2000</v>
      </c>
      <c r="BF17" s="9">
        <v>0</v>
      </c>
      <c r="BG17" s="9">
        <v>2000</v>
      </c>
      <c r="BH17" s="9">
        <v>4000</v>
      </c>
      <c r="BI17" s="9">
        <v>0</v>
      </c>
      <c r="BJ17" s="9">
        <v>4000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18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51000</v>
      </c>
      <c r="CF17" s="14"/>
    </row>
    <row r="18" spans="1:84" x14ac:dyDescent="0.3">
      <c r="AB18">
        <v>0</v>
      </c>
      <c r="AC18">
        <v>0</v>
      </c>
      <c r="AD18">
        <v>0</v>
      </c>
    </row>
    <row r="19" spans="1:84" x14ac:dyDescent="0.3">
      <c r="AB19">
        <v>0</v>
      </c>
      <c r="AC19">
        <v>0</v>
      </c>
      <c r="AD19">
        <v>0</v>
      </c>
    </row>
    <row r="20" spans="1:84" x14ac:dyDescent="0.3">
      <c r="AB20">
        <v>0</v>
      </c>
      <c r="AC20">
        <v>0</v>
      </c>
      <c r="AD20">
        <v>0</v>
      </c>
    </row>
    <row r="21" spans="1:84" x14ac:dyDescent="0.3">
      <c r="AB21">
        <v>0</v>
      </c>
      <c r="AC21">
        <v>0</v>
      </c>
      <c r="AD21">
        <v>0</v>
      </c>
    </row>
    <row r="22" spans="1:84" x14ac:dyDescent="0.3">
      <c r="AB22">
        <v>0</v>
      </c>
      <c r="AC22">
        <v>0</v>
      </c>
      <c r="AD22">
        <v>0</v>
      </c>
    </row>
    <row r="23" spans="1:84" x14ac:dyDescent="0.3">
      <c r="AB23">
        <v>0</v>
      </c>
      <c r="AC23">
        <v>0</v>
      </c>
      <c r="AD23">
        <v>0</v>
      </c>
    </row>
    <row r="24" spans="1:84" x14ac:dyDescent="0.3">
      <c r="AB24">
        <v>0</v>
      </c>
      <c r="AC24">
        <v>0</v>
      </c>
      <c r="AD24">
        <v>0</v>
      </c>
    </row>
    <row r="25" spans="1:84" x14ac:dyDescent="0.3">
      <c r="AB25">
        <v>0</v>
      </c>
      <c r="AC25">
        <v>0</v>
      </c>
      <c r="AD25">
        <v>0</v>
      </c>
    </row>
    <row r="26" spans="1:84" x14ac:dyDescent="0.3">
      <c r="AB26">
        <v>0</v>
      </c>
      <c r="AC26">
        <v>0</v>
      </c>
      <c r="AD26">
        <v>0</v>
      </c>
    </row>
    <row r="27" spans="1:84" x14ac:dyDescent="0.3">
      <c r="AB27">
        <v>0</v>
      </c>
      <c r="AC27">
        <v>0</v>
      </c>
      <c r="AD27">
        <v>0</v>
      </c>
    </row>
    <row r="28" spans="1:84" x14ac:dyDescent="0.3">
      <c r="AB28">
        <v>0</v>
      </c>
      <c r="AC28">
        <v>0</v>
      </c>
      <c r="AD28">
        <v>0</v>
      </c>
    </row>
    <row r="29" spans="1:84" x14ac:dyDescent="0.3">
      <c r="AB29">
        <v>0</v>
      </c>
    </row>
    <row r="30" spans="1:84" x14ac:dyDescent="0.3">
      <c r="AB30">
        <v>0</v>
      </c>
    </row>
    <row r="31" spans="1:84" x14ac:dyDescent="0.3">
      <c r="AB31">
        <v>0</v>
      </c>
      <c r="AC31">
        <v>0</v>
      </c>
      <c r="AD31">
        <v>0</v>
      </c>
    </row>
    <row r="32" spans="1:84" x14ac:dyDescent="0.3">
      <c r="AB32">
        <v>0</v>
      </c>
      <c r="AC32">
        <v>0</v>
      </c>
      <c r="AD32">
        <v>0</v>
      </c>
    </row>
    <row r="33" spans="28:30" x14ac:dyDescent="0.3">
      <c r="AB33">
        <v>0</v>
      </c>
      <c r="AC33">
        <v>0</v>
      </c>
      <c r="AD33">
        <v>0</v>
      </c>
    </row>
    <row r="34" spans="28:30" x14ac:dyDescent="0.3">
      <c r="AB34">
        <v>0</v>
      </c>
      <c r="AC34">
        <v>0</v>
      </c>
      <c r="AD34">
        <v>0</v>
      </c>
    </row>
  </sheetData>
  <conditionalFormatting sqref="B2:B16">
    <cfRule type="duplicateValues" dxfId="3" priority="101"/>
  </conditionalFormatting>
  <conditionalFormatting sqref="B17">
    <cfRule type="duplicateValues" dxfId="2" priority="1"/>
  </conditionalFormatting>
  <conditionalFormatting sqref="C2:C16">
    <cfRule type="duplicateValues" dxfId="1" priority="103"/>
  </conditionalFormatting>
  <conditionalFormatting sqref="C17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cp:lastPrinted>2023-07-04T08:36:42Z</cp:lastPrinted>
  <dcterms:created xsi:type="dcterms:W3CDTF">2023-06-28T04:01:39Z</dcterms:created>
  <dcterms:modified xsi:type="dcterms:W3CDTF">2023-07-13T10:59:58Z</dcterms:modified>
</cp:coreProperties>
</file>