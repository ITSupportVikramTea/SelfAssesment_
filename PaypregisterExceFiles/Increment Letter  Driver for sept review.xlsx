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hirk\Desktop\"/>
    </mc:Choice>
  </mc:AlternateContent>
  <xr:revisionPtr revIDLastSave="0" documentId="13_ncr:1_{22751528-148A-43FF-B00C-AA3D192431C9}" xr6:coauthVersionLast="47" xr6:coauthVersionMax="47" xr10:uidLastSave="{00000000-0000-0000-0000-000000000000}"/>
  <bookViews>
    <workbookView xWindow="-120" yWindow="-120" windowWidth="21840" windowHeight="13140" xr2:uid="{5A05E7DC-B049-4333-8D79-063526A00FCE}"/>
  </bookViews>
  <sheets>
    <sheet name="Sheet1" sheetId="1" r:id="rId1"/>
  </sheets>
  <definedNames>
    <definedName name="_xlnm._FilterDatabase" localSheetId="0" hidden="1">Sheet1!$A$1:$CO$22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J21" i="1" l="1"/>
  <c r="BJ20" i="1"/>
  <c r="BJ13" i="1"/>
  <c r="BJ12" i="1"/>
  <c r="BJ5" i="1"/>
  <c r="BJ4" i="1"/>
  <c r="AQ21" i="1"/>
  <c r="AQ20" i="1"/>
  <c r="AQ13" i="1"/>
  <c r="AP12" i="1"/>
  <c r="AQ5" i="1"/>
  <c r="AQ4" i="1"/>
  <c r="AQ23" i="1"/>
  <c r="AQ22" i="1"/>
  <c r="AQ16" i="1"/>
  <c r="AQ15" i="1"/>
  <c r="AQ14" i="1"/>
  <c r="AQ7" i="1"/>
  <c r="AQ6" i="1"/>
  <c r="AQ2" i="1"/>
  <c r="AR2" i="1"/>
  <c r="AR6" i="1"/>
  <c r="AR7" i="1"/>
  <c r="AR14" i="1"/>
  <c r="AR15" i="1"/>
  <c r="AR23" i="1"/>
  <c r="AQ24" i="1"/>
  <c r="AQ8" i="1"/>
  <c r="BV27" i="1"/>
  <c r="BU27" i="1"/>
  <c r="BT27" i="1"/>
  <c r="BV26" i="1"/>
  <c r="BU26" i="1"/>
  <c r="BT26" i="1"/>
  <c r="BV25" i="1"/>
  <c r="BU25" i="1"/>
  <c r="BT25" i="1"/>
  <c r="BV24" i="1"/>
  <c r="BU24" i="1"/>
  <c r="BT24" i="1"/>
  <c r="BV23" i="1"/>
  <c r="BU23" i="1"/>
  <c r="BT23" i="1"/>
  <c r="BV22" i="1"/>
  <c r="BU22" i="1"/>
  <c r="BT22" i="1"/>
  <c r="BV21" i="1"/>
  <c r="BU21" i="1"/>
  <c r="BT21" i="1"/>
  <c r="BV20" i="1"/>
  <c r="BU20" i="1"/>
  <c r="BT20" i="1"/>
  <c r="BV19" i="1"/>
  <c r="BU19" i="1"/>
  <c r="BT19" i="1"/>
  <c r="BV18" i="1"/>
  <c r="BU18" i="1"/>
  <c r="BT18" i="1"/>
  <c r="BV17" i="1"/>
  <c r="BU17" i="1"/>
  <c r="BT17" i="1"/>
  <c r="BV16" i="1"/>
  <c r="BU16" i="1"/>
  <c r="BT16" i="1"/>
  <c r="BV15" i="1"/>
  <c r="BU15" i="1"/>
  <c r="BT15" i="1"/>
  <c r="BV14" i="1"/>
  <c r="BU14" i="1"/>
  <c r="BT14" i="1"/>
  <c r="BV13" i="1"/>
  <c r="BU13" i="1"/>
  <c r="BT13" i="1"/>
  <c r="BV12" i="1"/>
  <c r="BU12" i="1"/>
  <c r="BT12" i="1"/>
  <c r="BV11" i="1"/>
  <c r="BU11" i="1"/>
  <c r="BT11" i="1"/>
  <c r="BV10" i="1"/>
  <c r="BU10" i="1"/>
  <c r="BT10" i="1"/>
  <c r="BV9" i="1"/>
  <c r="BU9" i="1"/>
  <c r="BT9" i="1"/>
  <c r="BV8" i="1"/>
  <c r="BU8" i="1"/>
  <c r="BT8" i="1"/>
  <c r="BV7" i="1"/>
  <c r="BU7" i="1"/>
  <c r="BT7" i="1"/>
  <c r="BV6" i="1"/>
  <c r="BU6" i="1"/>
  <c r="BT6" i="1"/>
  <c r="BV5" i="1"/>
  <c r="BU5" i="1"/>
  <c r="BT5" i="1"/>
  <c r="BV4" i="1"/>
  <c r="BU4" i="1"/>
  <c r="BT4" i="1"/>
  <c r="BV3" i="1"/>
  <c r="BU3" i="1"/>
  <c r="BT3" i="1"/>
  <c r="BV2" i="1"/>
  <c r="BU2" i="1"/>
  <c r="BT2" i="1"/>
  <c r="BJ27" i="1"/>
  <c r="BH27" i="1"/>
  <c r="BJ26" i="1"/>
  <c r="BH26" i="1"/>
  <c r="BJ25" i="1"/>
  <c r="BH25" i="1"/>
  <c r="BJ24" i="1"/>
  <c r="BH24" i="1"/>
  <c r="BJ23" i="1"/>
  <c r="BH23" i="1"/>
  <c r="BJ22" i="1"/>
  <c r="BH22" i="1"/>
  <c r="BH21" i="1"/>
  <c r="BH20" i="1"/>
  <c r="BJ19" i="1"/>
  <c r="BH19" i="1"/>
  <c r="BJ18" i="1"/>
  <c r="BH18" i="1"/>
  <c r="BJ17" i="1"/>
  <c r="BH17" i="1"/>
  <c r="BJ16" i="1"/>
  <c r="BH16" i="1"/>
  <c r="BJ15" i="1"/>
  <c r="BH15" i="1"/>
  <c r="BJ14" i="1"/>
  <c r="BH14" i="1"/>
  <c r="BH13" i="1"/>
  <c r="BH12" i="1"/>
  <c r="BJ11" i="1"/>
  <c r="BH11" i="1"/>
  <c r="BJ10" i="1"/>
  <c r="BH10" i="1"/>
  <c r="BJ9" i="1"/>
  <c r="BH9" i="1"/>
  <c r="BJ8" i="1"/>
  <c r="BH8" i="1"/>
  <c r="BJ7" i="1"/>
  <c r="BH7" i="1"/>
  <c r="BJ6" i="1"/>
  <c r="BH6" i="1"/>
  <c r="BH5" i="1"/>
  <c r="BH4" i="1"/>
  <c r="BJ3" i="1"/>
  <c r="BH3" i="1"/>
  <c r="BJ2" i="1"/>
  <c r="BH2" i="1"/>
  <c r="BF27" i="1"/>
  <c r="BI27" i="1" s="1"/>
  <c r="BF26" i="1"/>
  <c r="BI26" i="1" s="1"/>
  <c r="BF25" i="1"/>
  <c r="BI25" i="1" s="1"/>
  <c r="BF24" i="1"/>
  <c r="BI24" i="1" s="1"/>
  <c r="BF23" i="1"/>
  <c r="BI23" i="1" s="1"/>
  <c r="BF22" i="1"/>
  <c r="BI22" i="1" s="1"/>
  <c r="BF21" i="1"/>
  <c r="BF20" i="1"/>
  <c r="BF19" i="1"/>
  <c r="BI19" i="1" s="1"/>
  <c r="BF18" i="1"/>
  <c r="BI18" i="1" s="1"/>
  <c r="BF17" i="1"/>
  <c r="BI17" i="1" s="1"/>
  <c r="BF16" i="1"/>
  <c r="BI16" i="1" s="1"/>
  <c r="BF15" i="1"/>
  <c r="BI15" i="1" s="1"/>
  <c r="BF14" i="1"/>
  <c r="BI14" i="1" s="1"/>
  <c r="BF13" i="1"/>
  <c r="BF12" i="1"/>
  <c r="BF11" i="1"/>
  <c r="BI11" i="1" s="1"/>
  <c r="BF10" i="1"/>
  <c r="BI10" i="1" s="1"/>
  <c r="BF9" i="1"/>
  <c r="BI9" i="1" s="1"/>
  <c r="BF8" i="1"/>
  <c r="BI8" i="1" s="1"/>
  <c r="BF7" i="1"/>
  <c r="BI7" i="1" s="1"/>
  <c r="BF6" i="1"/>
  <c r="BI6" i="1" s="1"/>
  <c r="BF5" i="1"/>
  <c r="BF4" i="1"/>
  <c r="BF3" i="1"/>
  <c r="BI3" i="1" s="1"/>
  <c r="BF2" i="1"/>
  <c r="AR27" i="1"/>
  <c r="AQ27" i="1"/>
  <c r="AP27" i="1"/>
  <c r="AR26" i="1"/>
  <c r="AQ26" i="1"/>
  <c r="AP26" i="1"/>
  <c r="AR25" i="1"/>
  <c r="AQ25" i="1"/>
  <c r="AP25" i="1"/>
  <c r="AR24" i="1"/>
  <c r="AP24" i="1"/>
  <c r="AP23" i="1"/>
  <c r="AR22" i="1"/>
  <c r="AP22" i="1"/>
  <c r="AR21" i="1"/>
  <c r="AR20" i="1"/>
  <c r="AR19" i="1"/>
  <c r="AQ19" i="1"/>
  <c r="AP19" i="1"/>
  <c r="AR18" i="1"/>
  <c r="AQ18" i="1"/>
  <c r="AP18" i="1"/>
  <c r="AR17" i="1"/>
  <c r="AQ17" i="1"/>
  <c r="AP17" i="1"/>
  <c r="AR16" i="1"/>
  <c r="AP16" i="1"/>
  <c r="AP15" i="1"/>
  <c r="BW15" i="1" s="1"/>
  <c r="BZ15" i="1" s="1"/>
  <c r="AP14" i="1"/>
  <c r="AR13" i="1"/>
  <c r="AP13" i="1"/>
  <c r="AR12" i="1"/>
  <c r="AR11" i="1"/>
  <c r="AQ11" i="1"/>
  <c r="AP11" i="1"/>
  <c r="AR10" i="1"/>
  <c r="AQ10" i="1"/>
  <c r="AP10" i="1"/>
  <c r="AR9" i="1"/>
  <c r="AQ9" i="1"/>
  <c r="AP9" i="1"/>
  <c r="AR8" i="1"/>
  <c r="AP8" i="1"/>
  <c r="AP7" i="1"/>
  <c r="AP6" i="1"/>
  <c r="AR5" i="1"/>
  <c r="AR4" i="1"/>
  <c r="AR3" i="1"/>
  <c r="AQ3" i="1"/>
  <c r="AP3" i="1"/>
  <c r="AP2" i="1"/>
  <c r="BI4" i="1" l="1"/>
  <c r="BX4" i="1" s="1"/>
  <c r="CA4" i="1" s="1"/>
  <c r="CC4" i="1" s="1"/>
  <c r="BI12" i="1"/>
  <c r="BI20" i="1"/>
  <c r="BX20" i="1" s="1"/>
  <c r="CA20" i="1" s="1"/>
  <c r="CC20" i="1" s="1"/>
  <c r="BI5" i="1"/>
  <c r="BX5" i="1" s="1"/>
  <c r="CA5" i="1" s="1"/>
  <c r="CC5" i="1" s="1"/>
  <c r="BI13" i="1"/>
  <c r="BX13" i="1" s="1"/>
  <c r="CA13" i="1" s="1"/>
  <c r="CC13" i="1" s="1"/>
  <c r="BI21" i="1"/>
  <c r="BX21" i="1" s="1"/>
  <c r="CA21" i="1" s="1"/>
  <c r="CC21" i="1" s="1"/>
  <c r="BI2" i="1"/>
  <c r="BX2" i="1" s="1"/>
  <c r="CA2" i="1" s="1"/>
  <c r="CC2" i="1" s="1"/>
  <c r="BW7" i="1"/>
  <c r="BZ7" i="1" s="1"/>
  <c r="BY18" i="1"/>
  <c r="CB18" i="1" s="1"/>
  <c r="BW25" i="1"/>
  <c r="BZ25" i="1" s="1"/>
  <c r="BW9" i="1"/>
  <c r="BZ9" i="1" s="1"/>
  <c r="BW26" i="1"/>
  <c r="BZ26" i="1" s="1"/>
  <c r="BW18" i="1"/>
  <c r="BZ18" i="1" s="1"/>
  <c r="BW23" i="1"/>
  <c r="BZ23" i="1" s="1"/>
  <c r="BW2" i="1"/>
  <c r="BZ2" i="1" s="1"/>
  <c r="BW8" i="1"/>
  <c r="BZ8" i="1" s="1"/>
  <c r="BW11" i="1"/>
  <c r="BZ11" i="1" s="1"/>
  <c r="BW24" i="1"/>
  <c r="BZ24" i="1" s="1"/>
  <c r="BW27" i="1"/>
  <c r="BZ27" i="1" s="1"/>
  <c r="BW17" i="1"/>
  <c r="BZ17" i="1" s="1"/>
  <c r="BW6" i="1"/>
  <c r="BZ6" i="1" s="1"/>
  <c r="BW14" i="1"/>
  <c r="BZ14" i="1" s="1"/>
  <c r="BX18" i="1"/>
  <c r="CA18" i="1" s="1"/>
  <c r="CC18" i="1" s="1"/>
  <c r="BX26" i="1"/>
  <c r="CA26" i="1" s="1"/>
  <c r="CC26" i="1" s="1"/>
  <c r="BY25" i="1"/>
  <c r="CB25" i="1" s="1"/>
  <c r="BY9" i="1"/>
  <c r="CB9" i="1" s="1"/>
  <c r="BX8" i="1"/>
  <c r="CA8" i="1" s="1"/>
  <c r="CC8" i="1" s="1"/>
  <c r="BY17" i="1"/>
  <c r="CB17" i="1" s="1"/>
  <c r="BX24" i="1"/>
  <c r="CA24" i="1" s="1"/>
  <c r="CC24" i="1" s="1"/>
  <c r="BY8" i="1"/>
  <c r="CB8" i="1" s="1"/>
  <c r="BY24" i="1"/>
  <c r="CB24" i="1" s="1"/>
  <c r="BY27" i="1"/>
  <c r="CB27" i="1" s="1"/>
  <c r="BY11" i="1"/>
  <c r="CB11" i="1" s="1"/>
  <c r="BY3" i="1"/>
  <c r="CB3" i="1" s="1"/>
  <c r="BY23" i="1"/>
  <c r="CB23" i="1" s="1"/>
  <c r="BY26" i="1"/>
  <c r="CB26" i="1" s="1"/>
  <c r="BY15" i="1"/>
  <c r="CB15" i="1" s="1"/>
  <c r="BY22" i="1"/>
  <c r="CB22" i="1" s="1"/>
  <c r="BY14" i="1"/>
  <c r="CB14" i="1" s="1"/>
  <c r="BY21" i="1"/>
  <c r="CB21" i="1" s="1"/>
  <c r="BY7" i="1"/>
  <c r="CB7" i="1" s="1"/>
  <c r="BY13" i="1"/>
  <c r="CB13" i="1" s="1"/>
  <c r="BY10" i="1"/>
  <c r="CB10" i="1" s="1"/>
  <c r="BY6" i="1"/>
  <c r="CB6" i="1" s="1"/>
  <c r="BY4" i="1"/>
  <c r="CB4" i="1" s="1"/>
  <c r="BY5" i="1"/>
  <c r="CB5" i="1" s="1"/>
  <c r="BY2" i="1"/>
  <c r="CB2" i="1" s="1"/>
  <c r="BY16" i="1"/>
  <c r="CB16" i="1" s="1"/>
  <c r="BY19" i="1"/>
  <c r="CB19" i="1" s="1"/>
  <c r="BY12" i="1"/>
  <c r="CB12" i="1" s="1"/>
  <c r="BY20" i="1"/>
  <c r="CB20" i="1" s="1"/>
  <c r="BW13" i="1"/>
  <c r="BZ13" i="1" s="1"/>
  <c r="BX7" i="1"/>
  <c r="CA7" i="1" s="1"/>
  <c r="CC7" i="1" s="1"/>
  <c r="BW12" i="1"/>
  <c r="BZ12" i="1" s="1"/>
  <c r="BW10" i="1"/>
  <c r="BZ10" i="1" s="1"/>
  <c r="BW22" i="1"/>
  <c r="BZ22" i="1" s="1"/>
  <c r="BX10" i="1"/>
  <c r="CA10" i="1" s="1"/>
  <c r="CC10" i="1" s="1"/>
  <c r="BW16" i="1"/>
  <c r="BZ16" i="1" s="1"/>
  <c r="BW19" i="1"/>
  <c r="BZ19" i="1" s="1"/>
  <c r="BW3" i="1"/>
  <c r="BZ3" i="1" s="1"/>
  <c r="BX27" i="1"/>
  <c r="CA27" i="1" s="1"/>
  <c r="CC27" i="1" s="1"/>
  <c r="BX3" i="1"/>
  <c r="CA3" i="1" s="1"/>
  <c r="CC3" i="1" s="1"/>
  <c r="BX9" i="1"/>
  <c r="CA9" i="1" s="1"/>
  <c r="CC9" i="1" s="1"/>
  <c r="BX25" i="1"/>
  <c r="CA25" i="1" s="1"/>
  <c r="CC25" i="1" s="1"/>
  <c r="BX14" i="1"/>
  <c r="CA14" i="1" s="1"/>
  <c r="CC14" i="1" s="1"/>
  <c r="BX19" i="1"/>
  <c r="CA19" i="1" s="1"/>
  <c r="CC19" i="1" s="1"/>
  <c r="BX17" i="1"/>
  <c r="CA17" i="1" s="1"/>
  <c r="CC17" i="1" s="1"/>
  <c r="BX15" i="1"/>
  <c r="CA15" i="1" s="1"/>
  <c r="CC15" i="1" s="1"/>
  <c r="BX11" i="1"/>
  <c r="CA11" i="1" s="1"/>
  <c r="CC11" i="1" s="1"/>
  <c r="BX16" i="1"/>
  <c r="CA16" i="1" s="1"/>
  <c r="CC16" i="1" s="1"/>
  <c r="BX6" i="1"/>
  <c r="CA6" i="1" s="1"/>
  <c r="CC6" i="1" s="1"/>
  <c r="BX22" i="1"/>
  <c r="CA22" i="1" s="1"/>
  <c r="CC22" i="1" s="1"/>
  <c r="BX23" i="1"/>
  <c r="CA23" i="1" s="1"/>
  <c r="CC23" i="1" s="1"/>
  <c r="AP20" i="1"/>
  <c r="BW20" i="1" s="1"/>
  <c r="BZ20" i="1" s="1"/>
  <c r="AP4" i="1"/>
  <c r="BW4" i="1" s="1"/>
  <c r="BZ4" i="1" s="1"/>
  <c r="AP21" i="1"/>
  <c r="BW21" i="1" s="1"/>
  <c r="BZ21" i="1" s="1"/>
  <c r="AP5" i="1"/>
  <c r="BW5" i="1" s="1"/>
  <c r="BZ5" i="1" s="1"/>
  <c r="AQ12" i="1"/>
  <c r="BX12" i="1" s="1"/>
  <c r="CA12" i="1" s="1"/>
  <c r="CC12" i="1" s="1"/>
</calcChain>
</file>

<file path=xl/sharedStrings.xml><?xml version="1.0" encoding="utf-8"?>
<sst xmlns="http://schemas.openxmlformats.org/spreadsheetml/2006/main" count="249" uniqueCount="153">
  <si>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</si>
  <si>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</si>
  <si>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</si>
  <si>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</si>
  <si>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</si>
  <si>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</si>
  <si>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</si>
  <si>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</si>
  <si>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</si>
  <si>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</si>
  <si>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Standard Percentage</t>
  </si>
  <si>
    <t>HOD Name</t>
  </si>
  <si>
    <t>HOD Designation</t>
  </si>
  <si>
    <t>EmailID</t>
  </si>
  <si>
    <t>Email HOD</t>
  </si>
  <si>
    <t>Days</t>
  </si>
  <si>
    <t>Petrol Allowance</t>
  </si>
  <si>
    <t>Basic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</si>
  <si>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</si>
  <si>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</si>
  <si>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</si>
  <si>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</si>
  <si>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</si>
  <si>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</si>
  <si>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</si>
  <si>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</si>
  <si>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</si>
  <si>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</si>
  <si>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</si>
  <si>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</si>
  <si>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</si>
  <si>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</si>
  <si>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</si>
  <si>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</si>
  <si>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</si>
  <si>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</si>
  <si>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</si>
  <si>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</si>
  <si>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</si>
  <si>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</si>
  <si>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</si>
  <si>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</si>
  <si>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</si>
  <si>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</si>
  <si>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</si>
  <si>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</si>
  <si>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</si>
  <si>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</si>
  <si>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</si>
  <si>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</si>
  <si>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</si>
  <si>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</si>
  <si>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</si>
  <si>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</si>
  <si>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</si>
  <si>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</si>
  <si>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</si>
  <si>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</si>
  <si>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</si>
  <si>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</si>
  <si>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</si>
  <si>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</si>
  <si>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</si>
  <si>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</si>
  <si>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</si>
  <si>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</si>
  <si>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</si>
  <si>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</si>
  <si>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</si>
  <si>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</si>
  <si>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</si>
  <si>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</si>
  <si>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</si>
  <si>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</si>
  <si>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</si>
  <si>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</si>
  <si>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</si>
  <si>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</si>
  <si>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</si>
  <si>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Standard Inc</t>
  </si>
  <si>
    <t>Basic Inc</t>
  </si>
  <si>
    <t>Total A Inc</t>
  </si>
  <si>
    <t>CTC AFTER INC</t>
  </si>
  <si>
    <t>INC Percentage</t>
  </si>
  <si>
    <t>Less: PF 13%</t>
  </si>
  <si>
    <t>Less: PF Inc on 13%</t>
  </si>
  <si>
    <t>Less: PF Revised</t>
  </si>
  <si>
    <t>Less: PT A</t>
  </si>
  <si>
    <t>Less: PT B</t>
  </si>
  <si>
    <t>Less: PT A+B</t>
  </si>
  <si>
    <t>Less: ESIC A</t>
  </si>
  <si>
    <t>Less: ESIC B</t>
  </si>
  <si>
    <t>Less: ESIC A+B</t>
  </si>
  <si>
    <t>SHISHIR R MISHRA</t>
  </si>
  <si>
    <t>Director – Sales &amp; Marketing</t>
  </si>
  <si>
    <t>Marketing - VTPPL</t>
  </si>
  <si>
    <t>HR-EMP-00544</t>
  </si>
  <si>
    <t>HR-EMP-00729</t>
  </si>
  <si>
    <t>HR-EMP-01238</t>
  </si>
  <si>
    <t>HR-EMP-01379</t>
  </si>
  <si>
    <t>HR-EMP-01274</t>
  </si>
  <si>
    <t>HR-EMP-01322</t>
  </si>
  <si>
    <t>HR-EMP-01374</t>
  </si>
  <si>
    <t>HR-EMP-01375</t>
  </si>
  <si>
    <t>HR-EMP-01377</t>
  </si>
  <si>
    <t>HR-EMP-01431</t>
  </si>
  <si>
    <t>HR-EMP-01449</t>
  </si>
  <si>
    <t>HR-EMP-01504</t>
  </si>
  <si>
    <t>HR-EMP-01516</t>
  </si>
  <si>
    <t>HR-EMP-01528</t>
  </si>
  <si>
    <t>HR-EMP-01565</t>
  </si>
  <si>
    <t>HR-EMP-01606</t>
  </si>
  <si>
    <t>HR-EMP-01672</t>
  </si>
  <si>
    <t>HR-EMP-01696</t>
  </si>
  <si>
    <t>HR-EMP-01713</t>
  </si>
  <si>
    <t>HR-EMP-01719</t>
  </si>
  <si>
    <t>HR-EMP-01738</t>
  </si>
  <si>
    <t>HR-EMP-01745</t>
  </si>
  <si>
    <t>HR-EMP-01748</t>
  </si>
  <si>
    <t>HR-EMP-01762</t>
  </si>
  <si>
    <t>HR-EMP-01781</t>
  </si>
  <si>
    <t>HR-EMP-01434</t>
  </si>
  <si>
    <t>SHUBHAM SHRICHAND SAHU</t>
  </si>
  <si>
    <t>YUVRAJ RAMVCHANDRA INAMDAR</t>
  </si>
  <si>
    <t>DILIP KUMAR VADLUPADASU</t>
  </si>
  <si>
    <t>KUMAR KOMBAIAH</t>
  </si>
  <si>
    <t>P KARTHIKEYAN</t>
  </si>
  <si>
    <t>RAGHAVENDRA A VAGHMODE</t>
  </si>
  <si>
    <t>VENKATESHA K M</t>
  </si>
  <si>
    <t>GOPINATH RAJI</t>
  </si>
  <si>
    <t>SERALATHAN MURUGESAN</t>
  </si>
  <si>
    <t>SACHIN GURASANGAPPA GANIGER</t>
  </si>
  <si>
    <t>FARHAN KHAN C K</t>
  </si>
  <si>
    <t>PRUTHVIRAJ R. P.</t>
  </si>
  <si>
    <t>MURUGADAS</t>
  </si>
  <si>
    <t>ARIF AHMED M BALSING</t>
  </si>
  <si>
    <t>PUGHAZHENDHI GUNASEKAR</t>
  </si>
  <si>
    <t>RAFEEQ RAJEKHAN</t>
  </si>
  <si>
    <t>SYED IRSHAD SYED SHABBIR</t>
  </si>
  <si>
    <t>JAVVADI BANDI MUTYALA RAO</t>
  </si>
  <si>
    <t>HARSHAD BABULAL DHANDAR</t>
  </si>
  <si>
    <t>NAGARAJ S</t>
  </si>
  <si>
    <t xml:space="preserve">PRAMOD ASHOK INGAVALE </t>
  </si>
  <si>
    <t>MUTTANNA</t>
  </si>
  <si>
    <t>SHARATH K</t>
  </si>
  <si>
    <t>MUKESH GOPAL SURYAWANSHI</t>
  </si>
  <si>
    <t>ABHIJEET RAGHUNATH KOTHAWADE</t>
  </si>
  <si>
    <t>ABHILASH A S</t>
  </si>
  <si>
    <t>Sales - VTPPL</t>
  </si>
  <si>
    <t>Other Modern Trade - VTPPL</t>
  </si>
  <si>
    <t>Sales Representative</t>
  </si>
  <si>
    <t>Sales Officer - Modern Trade</t>
  </si>
  <si>
    <t>Sales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</si>
</sst>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Bookman Old Style"/>
      <family val="1"/>
    </font>
    <font>
      <sz val="10"/>
      <name val="Arial"/>
      <family val="2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1" fontId="3" fillId="0" borderId="1" xfId="1" applyNumberFormat="1" applyFont="1" applyBorder="1" applyAlignment="1">
      <alignment horizontal="left" vertical="center"/>
    </xf>
    <xf numFmtId="1" fontId="4" fillId="0" borderId="1" xfId="2" applyNumberFormat="1" applyBorder="1" applyAlignment="1">
      <alignment horizontal="left" vertical="center"/>
    </xf>
    <xf numFmtId="1" fontId="3" fillId="0" borderId="1" xfId="1" applyNumberFormat="1" applyFont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left" wrapText="1"/>
    </xf>
    <xf numFmtId="1" fontId="5" fillId="0" borderId="1" xfId="1" applyNumberFormat="1" applyFont="1" applyBorder="1" applyAlignment="1">
      <alignment horizontal="left"/>
    </xf>
    <xf numFmtId="1" fontId="5" fillId="0" borderId="1" xfId="1" applyNumberFormat="1" applyFont="1" applyBorder="1" applyAlignment="1">
      <alignment horizontal="left" vertical="center"/>
    </xf>
    <xf numFmtId="1" fontId="5" fillId="3" borderId="1" xfId="1" applyNumberFormat="1" applyFont="1" applyFill="1" applyBorder="1" applyAlignment="1">
      <alignment horizontal="left" vertical="center"/>
    </xf>
  </cellXfs>
  <cellStyles count="3">
    <cellStyle name="Hyperlink" xfId="2" builtinId="8"/>
    <cellStyle name="Normal" xfId="0" builtinId="0"/>
    <cellStyle name="Normal 4 2 2" xfId="1" xr:uid="{6D58A7B4-B5D1-4EBF-9ECC-C2D02BBCB88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8EB7-B904-4951-BD3D-240744789D09}">
  <dimension ref="A1:CO113"/>
  <sheetViews>
    <sheetView tabSelected="1" workbookViewId="0">
      <selection activeCell="B1" sqref="B1"/>
    </sheetView>
  </sheetViews>
  <sheetFormatPr defaultRowHeight="15" customHeight="1" x14ac:dyDescent="0.25"/>
  <cols>
    <col min="1" max="1" width="10.85546875" bestFit="1" customWidth="1"/>
    <col min="2" max="2" width="26.42578125" bestFit="1" customWidth="1"/>
    <col min="3" max="3" width="12.85546875" bestFit="1" customWidth="1"/>
    <col min="4" max="4" width="20" bestFit="1" customWidth="1"/>
    <col min="5" max="5" width="16.28515625" bestFit="1" customWidth="1"/>
    <col min="6" max="6" width="19.7109375" bestFit="1" customWidth="1"/>
    <col min="7" max="7" width="10.85546875" bestFit="1" customWidth="1"/>
    <col min="8" max="8" width="9" bestFit="1" customWidth="1"/>
    <col min="9" max="9" width="9.140625" bestFit="1" customWidth="1"/>
    <col min="10" max="10" width="16.140625" bestFit="1" customWidth="1"/>
    <col min="11" max="11" width="13.85546875" bestFit="1" customWidth="1"/>
    <col min="12" max="12" width="19.5703125" bestFit="1" customWidth="1"/>
    <col min="13" max="13" width="14.7109375" bestFit="1" customWidth="1"/>
    <col min="14" max="14" width="12.7109375" bestFit="1" customWidth="1"/>
    <col min="15" max="15" width="26.42578125" bestFit="1" customWidth="1"/>
    <col min="16" max="16" width="18.140625" bestFit="1" customWidth="1"/>
    <col min="17" max="17" width="17.28515625" bestFit="1" customWidth="1"/>
    <col min="18" max="18" width="15.28515625" bestFit="1" customWidth="1"/>
    <col min="19" max="19" width="5.140625" bestFit="1" customWidth="1"/>
    <col min="20" max="20" width="16.28515625" bestFit="1" customWidth="1"/>
    <col min="21" max="21" width="5.42578125" bestFit="1" customWidth="1"/>
    <col min="22" max="22" width="8.42578125" bestFit="1" customWidth="1"/>
    <col min="23" max="23" width="12.85546875" bestFit="1" customWidth="1"/>
    <col min="24" max="24" width="5.28515625" bestFit="1" customWidth="1"/>
    <col min="25" max="25" width="7.7109375" bestFit="1" customWidth="1"/>
    <col min="26" max="26" width="12.140625" bestFit="1" customWidth="1"/>
    <col min="27" max="27" width="6.85546875" bestFit="1" customWidth="1"/>
    <col min="28" max="28" width="11" bestFit="1" customWidth="1"/>
    <col min="29" max="29" width="17.28515625" bestFit="1" customWidth="1"/>
    <col min="30" max="30" width="5.85546875" bestFit="1" customWidth="1"/>
    <col min="31" max="31" width="8.42578125" bestFit="1" customWidth="1"/>
    <col min="32" max="32" width="9.7109375" bestFit="1" customWidth="1"/>
    <col min="33" max="33" width="5.28515625" bestFit="1" customWidth="1"/>
    <col min="34" max="34" width="6.42578125" bestFit="1" customWidth="1"/>
    <col min="35" max="35" width="10.85546875" bestFit="1" customWidth="1"/>
    <col min="36" max="36" width="7.85546875" bestFit="1" customWidth="1"/>
    <col min="37" max="37" width="10.85546875" bestFit="1" customWidth="1"/>
    <col min="38" max="38" width="15.42578125" bestFit="1" customWidth="1"/>
    <col min="39" max="39" width="3.28515625" bestFit="1" customWidth="1"/>
    <col min="40" max="40" width="6.28515625" bestFit="1" customWidth="1"/>
    <col min="41" max="41" width="10.7109375" bestFit="1" customWidth="1"/>
    <col min="42" max="42" width="8.7109375" bestFit="1" customWidth="1"/>
    <col min="43" max="43" width="12.7109375" bestFit="1" customWidth="1"/>
    <col min="44" max="44" width="18" bestFit="1" customWidth="1"/>
    <col min="45" max="45" width="4.42578125" bestFit="1" customWidth="1"/>
    <col min="46" max="46" width="6.140625" bestFit="1" customWidth="1"/>
    <col min="47" max="47" width="10.5703125" bestFit="1" customWidth="1"/>
    <col min="48" max="48" width="4.7109375" bestFit="1" customWidth="1"/>
    <col min="49" max="49" width="7.7109375" bestFit="1" customWidth="1"/>
    <col min="50" max="50" width="12.140625" bestFit="1" customWidth="1"/>
    <col min="51" max="51" width="10.28515625" bestFit="1" customWidth="1"/>
    <col min="52" max="52" width="11.140625" bestFit="1" customWidth="1"/>
    <col min="53" max="53" width="15.7109375" bestFit="1" customWidth="1"/>
    <col min="54" max="54" width="8" bestFit="1" customWidth="1"/>
    <col min="55" max="55" width="9.42578125" bestFit="1" customWidth="1"/>
    <col min="56" max="56" width="14" bestFit="1" customWidth="1"/>
    <col min="57" max="57" width="5.28515625" bestFit="1" customWidth="1"/>
    <col min="58" max="58" width="7.5703125" bestFit="1" customWidth="1"/>
    <col min="59" max="59" width="12" bestFit="1" customWidth="1"/>
    <col min="60" max="60" width="8.85546875" bestFit="1" customWidth="1"/>
    <col min="61" max="61" width="12.85546875" bestFit="1" customWidth="1"/>
    <col min="62" max="62" width="18.140625" bestFit="1" customWidth="1"/>
    <col min="63" max="63" width="7.5703125" bestFit="1" customWidth="1"/>
    <col min="64" max="64" width="9.7109375" bestFit="1" customWidth="1"/>
    <col min="65" max="65" width="11.28515625" bestFit="1" customWidth="1"/>
    <col min="66" max="66" width="22.7109375" bestFit="1" customWidth="1"/>
    <col min="67" max="67" width="25.5703125" bestFit="1" customWidth="1"/>
    <col min="68" max="68" width="27.42578125" bestFit="1" customWidth="1"/>
    <col min="69" max="69" width="19.5703125" bestFit="1" customWidth="1"/>
    <col min="70" max="70" width="22.5703125" bestFit="1" customWidth="1"/>
    <col min="71" max="71" width="24.28515625" bestFit="1" customWidth="1"/>
    <col min="72" max="72" width="8.85546875" bestFit="1" customWidth="1"/>
    <col min="73" max="73" width="12.85546875" bestFit="1" customWidth="1"/>
    <col min="74" max="74" width="18.140625" bestFit="1" customWidth="1"/>
    <col min="75" max="75" width="11.85546875" bestFit="1" customWidth="1"/>
    <col min="76" max="76" width="12.42578125" bestFit="1" customWidth="1"/>
    <col min="77" max="77" width="17" bestFit="1" customWidth="1"/>
    <col min="78" max="78" width="17.140625" bestFit="1" customWidth="1"/>
    <col min="79" max="79" width="16.28515625" bestFit="1" customWidth="1"/>
    <col min="80" max="80" width="20.85546875" bestFit="1" customWidth="1"/>
    <col min="81" max="81" width="28.140625" bestFit="1" customWidth="1"/>
    <col min="82" max="82" width="6" bestFit="1" customWidth="1"/>
    <col min="83" max="83" width="5.85546875" bestFit="1" customWidth="1"/>
    <col min="84" max="84" width="8.140625" bestFit="1" customWidth="1"/>
    <col min="85" max="85" width="11.85546875" bestFit="1" customWidth="1"/>
    <col min="86" max="86" width="17.85546875" bestFit="1" customWidth="1"/>
    <col min="87" max="87" width="15.42578125" bestFit="1" customWidth="1"/>
    <col min="88" max="88" width="9.5703125" bestFit="1" customWidth="1"/>
    <col min="89" max="89" width="9.42578125" bestFit="1" customWidth="1"/>
    <col min="90" max="90" width="11.7109375" bestFit="1" customWidth="1"/>
    <col min="91" max="91" width="11.140625" bestFit="1" customWidth="1"/>
    <col min="92" max="92" width="11" bestFit="1" customWidth="1"/>
    <col min="93" max="93" width="13.42578125" bestFit="1" customWidth="1"/>
  </cols>
  <sheetData>
    <row r="1" spans="1:9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82</v>
      </c>
      <c r="L1" s="1" t="s">
        <v>10</v>
      </c>
      <c r="M1" s="1" t="s">
        <v>83</v>
      </c>
      <c r="N1" s="1" t="s">
        <v>11</v>
      </c>
      <c r="O1" s="1" t="s">
        <v>12</v>
      </c>
      <c r="P1" s="1" t="s">
        <v>13</v>
      </c>
      <c r="Q1" s="1" t="s">
        <v>14</v>
      </c>
      <c r="R1" s="2" t="s">
        <v>79</v>
      </c>
      <c r="S1" s="1" t="s">
        <v>15</v>
      </c>
      <c r="T1" s="1" t="s">
        <v>16</v>
      </c>
      <c r="U1" s="1" t="s">
        <v>17</v>
      </c>
      <c r="V1" s="1" t="s">
        <v>80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2" t="s">
        <v>37</v>
      </c>
      <c r="AQ1" s="2" t="s">
        <v>81</v>
      </c>
      <c r="AR1" s="2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2" t="s">
        <v>45</v>
      </c>
      <c r="AZ1" s="1" t="s">
        <v>46</v>
      </c>
      <c r="BA1" s="1" t="s">
        <v>47</v>
      </c>
      <c r="BB1" s="2" t="s">
        <v>48</v>
      </c>
      <c r="BC1" s="1" t="s">
        <v>49</v>
      </c>
      <c r="BD1" s="1" t="s">
        <v>50</v>
      </c>
      <c r="BE1" s="2" t="s">
        <v>51</v>
      </c>
      <c r="BF1" s="1" t="s">
        <v>52</v>
      </c>
      <c r="BG1" s="1" t="s">
        <v>53</v>
      </c>
      <c r="BH1" s="2" t="s">
        <v>54</v>
      </c>
      <c r="BI1" s="2" t="s">
        <v>55</v>
      </c>
      <c r="BJ1" s="2" t="s">
        <v>56</v>
      </c>
      <c r="BK1" s="1" t="s">
        <v>57</v>
      </c>
      <c r="BL1" s="1" t="s">
        <v>58</v>
      </c>
      <c r="BM1" s="1" t="s">
        <v>59</v>
      </c>
      <c r="BN1" s="2" t="s">
        <v>60</v>
      </c>
      <c r="BO1" s="2" t="s">
        <v>61</v>
      </c>
      <c r="BP1" s="2" t="s">
        <v>62</v>
      </c>
      <c r="BQ1" s="2" t="s">
        <v>63</v>
      </c>
      <c r="BR1" s="2" t="s">
        <v>64</v>
      </c>
      <c r="BS1" s="2" t="s">
        <v>65</v>
      </c>
      <c r="BT1" s="2" t="s">
        <v>66</v>
      </c>
      <c r="BU1" s="2" t="s">
        <v>67</v>
      </c>
      <c r="BV1" s="2" t="s">
        <v>68</v>
      </c>
      <c r="BW1" s="2" t="s">
        <v>69</v>
      </c>
      <c r="BX1" s="1" t="s">
        <v>70</v>
      </c>
      <c r="BY1" s="1" t="s">
        <v>71</v>
      </c>
      <c r="BZ1" s="2" t="s">
        <v>72</v>
      </c>
      <c r="CA1" s="1" t="s">
        <v>73</v>
      </c>
      <c r="CB1" s="1" t="s">
        <v>74</v>
      </c>
      <c r="CC1" s="2" t="s">
        <v>75</v>
      </c>
      <c r="CD1" t="s">
        <v>76</v>
      </c>
      <c r="CE1" t="s">
        <v>77</v>
      </c>
      <c r="CF1" t="s">
        <v>78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ht="15" customHeight="1" x14ac:dyDescent="0.25">
      <c r="A2" s="5" t="s">
        <v>96</v>
      </c>
      <c r="B2" s="6" t="s">
        <v>122</v>
      </c>
      <c r="C2" s="7" t="s">
        <v>95</v>
      </c>
      <c r="D2" s="8" t="s">
        <v>150</v>
      </c>
      <c r="E2" s="3"/>
      <c r="F2" s="3"/>
      <c r="G2" s="3"/>
      <c r="H2" s="3"/>
      <c r="I2" s="3"/>
      <c r="J2" s="3"/>
      <c r="K2" s="9">
        <v>21511</v>
      </c>
      <c r="L2" s="3"/>
      <c r="M2" s="3"/>
      <c r="N2" s="3" t="s">
        <v>93</v>
      </c>
      <c r="O2" s="3" t="s">
        <v>94</v>
      </c>
      <c r="P2" s="4"/>
      <c r="Q2" s="3"/>
      <c r="R2" s="3"/>
      <c r="S2" s="3"/>
      <c r="T2" s="3">
        <v>0</v>
      </c>
      <c r="U2" s="3">
        <v>4982</v>
      </c>
      <c r="V2" s="3">
        <v>0</v>
      </c>
      <c r="W2" s="3">
        <v>4982</v>
      </c>
      <c r="X2" s="3">
        <v>2592</v>
      </c>
      <c r="Y2" s="3">
        <v>1451</v>
      </c>
      <c r="Z2" s="3">
        <v>4043</v>
      </c>
      <c r="AA2" s="3">
        <v>500</v>
      </c>
      <c r="AB2" s="3">
        <v>0</v>
      </c>
      <c r="AC2" s="3">
        <v>500</v>
      </c>
      <c r="AD2" s="3">
        <v>1600</v>
      </c>
      <c r="AE2" s="3">
        <v>0</v>
      </c>
      <c r="AF2" s="3">
        <v>1600</v>
      </c>
      <c r="AG2" s="3">
        <v>4755</v>
      </c>
      <c r="AH2" s="3">
        <v>0</v>
      </c>
      <c r="AI2" s="3">
        <v>4755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f>U2+X2+AA2+AD2+AG2+AJ2+AM2</f>
        <v>14429</v>
      </c>
      <c r="AQ2" s="3">
        <f>V2+Y2+AB2+AE2+AH2+AK2+AN2</f>
        <v>1451</v>
      </c>
      <c r="AR2" s="3">
        <f>W2+Z2+AC2+AF2+AI2+AL2+AO2</f>
        <v>15880</v>
      </c>
      <c r="AS2" s="3">
        <v>1539</v>
      </c>
      <c r="AT2" s="3">
        <v>0</v>
      </c>
      <c r="AU2" s="3">
        <v>1539</v>
      </c>
      <c r="AV2" s="3">
        <v>401</v>
      </c>
      <c r="AW2" s="3">
        <v>47</v>
      </c>
      <c r="AX2" s="3">
        <v>448</v>
      </c>
      <c r="AY2" s="3">
        <v>240</v>
      </c>
      <c r="AZ2" s="3">
        <v>0</v>
      </c>
      <c r="BA2" s="3">
        <v>240</v>
      </c>
      <c r="BB2" s="3">
        <v>415</v>
      </c>
      <c r="BC2" s="3"/>
      <c r="BD2" s="3">
        <v>415</v>
      </c>
      <c r="BE2" s="8">
        <v>0</v>
      </c>
      <c r="BF2" s="8">
        <f t="shared" ref="BF2:BF27" si="0">BG2-BE2</f>
        <v>0</v>
      </c>
      <c r="BG2" s="8">
        <v>0</v>
      </c>
      <c r="BH2" s="3">
        <f t="shared" ref="BH2:BH27" si="1">AS2+AV2+AY2+BB2+BE2</f>
        <v>2595</v>
      </c>
      <c r="BI2" s="3">
        <f t="shared" ref="BI2:BI27" si="2">AT2+AW2+AZ2+BC2+BF2</f>
        <v>47</v>
      </c>
      <c r="BJ2" s="3">
        <f t="shared" ref="BJ2:BJ27" si="3">AU2+AX2+BA2+BD2+BG2</f>
        <v>2642</v>
      </c>
      <c r="BK2" s="3">
        <v>2300</v>
      </c>
      <c r="BL2" s="3">
        <v>0</v>
      </c>
      <c r="BM2" s="3">
        <v>2300</v>
      </c>
      <c r="BN2" s="3">
        <v>690</v>
      </c>
      <c r="BO2" s="3">
        <v>0</v>
      </c>
      <c r="BP2" s="3">
        <v>690</v>
      </c>
      <c r="BQ2" s="3">
        <v>0</v>
      </c>
      <c r="BR2" s="3">
        <v>0</v>
      </c>
      <c r="BS2" s="3">
        <v>0</v>
      </c>
      <c r="BT2" s="3">
        <f>BK2+BN2+BQ2</f>
        <v>2990</v>
      </c>
      <c r="BU2" s="3">
        <f>BL2+BO2+BR2</f>
        <v>0</v>
      </c>
      <c r="BV2" s="3">
        <f>BM2+BP2+BS2</f>
        <v>2990</v>
      </c>
      <c r="BW2" s="3">
        <f t="shared" ref="BW2:BW27" si="4">AP2+BT2+BH2</f>
        <v>20014</v>
      </c>
      <c r="BX2" s="3">
        <f t="shared" ref="BX2:BX27" si="5">AQ2+BU2+BI2</f>
        <v>1498</v>
      </c>
      <c r="BY2" s="3">
        <f t="shared" ref="BY2:BY27" si="6">AR2+BV2+BJ2</f>
        <v>21512</v>
      </c>
      <c r="BZ2" s="3">
        <f>BW2*12</f>
        <v>240168</v>
      </c>
      <c r="CA2" s="3">
        <f>BX2*12</f>
        <v>17976</v>
      </c>
      <c r="CB2" s="3">
        <f>BY2*12</f>
        <v>258144</v>
      </c>
      <c r="CC2" s="3">
        <f>CA2</f>
        <v>17976</v>
      </c>
      <c r="CD2" s="3">
        <v>12716</v>
      </c>
      <c r="CE2" s="3">
        <v>1440</v>
      </c>
      <c r="CF2" s="3">
        <v>14156</v>
      </c>
      <c r="CG2" s="3">
        <v>1420</v>
      </c>
      <c r="CH2" s="3">
        <v>0</v>
      </c>
      <c r="CI2" s="3">
        <v>1420</v>
      </c>
      <c r="CJ2" s="3">
        <v>200</v>
      </c>
      <c r="CK2" s="3">
        <v>0</v>
      </c>
      <c r="CL2" s="3">
        <v>200</v>
      </c>
      <c r="CM2" s="3">
        <v>92</v>
      </c>
      <c r="CN2" s="3">
        <v>11</v>
      </c>
      <c r="CO2" s="3">
        <v>103</v>
      </c>
    </row>
    <row r="3" spans="1:93" ht="15" customHeight="1" x14ac:dyDescent="0.25">
      <c r="A3" s="5" t="s">
        <v>97</v>
      </c>
      <c r="B3" s="6" t="s">
        <v>123</v>
      </c>
      <c r="C3" s="7" t="s">
        <v>148</v>
      </c>
      <c r="D3" s="8" t="s">
        <v>150</v>
      </c>
      <c r="E3" s="3"/>
      <c r="F3" s="3"/>
      <c r="G3" s="3"/>
      <c r="H3" s="3"/>
      <c r="I3" s="3"/>
      <c r="J3" s="3"/>
      <c r="K3" s="9">
        <v>25594</v>
      </c>
      <c r="L3" s="3"/>
      <c r="M3" s="3"/>
      <c r="N3" s="3" t="s">
        <v>93</v>
      </c>
      <c r="O3" s="3" t="s">
        <v>94</v>
      </c>
      <c r="P3" s="4"/>
      <c r="Q3" s="3"/>
      <c r="R3" s="3"/>
      <c r="S3" s="3"/>
      <c r="T3" s="3">
        <v>0</v>
      </c>
      <c r="U3" s="3">
        <v>6762</v>
      </c>
      <c r="V3" s="3">
        <v>0</v>
      </c>
      <c r="W3" s="3">
        <v>6762</v>
      </c>
      <c r="X3" s="3">
        <v>5819</v>
      </c>
      <c r="Y3" s="3">
        <v>2032</v>
      </c>
      <c r="Z3" s="3">
        <v>7851</v>
      </c>
      <c r="AA3" s="3">
        <v>500</v>
      </c>
      <c r="AB3" s="3">
        <v>0</v>
      </c>
      <c r="AC3" s="3">
        <v>500</v>
      </c>
      <c r="AD3" s="3">
        <v>1600</v>
      </c>
      <c r="AE3" s="3">
        <v>0</v>
      </c>
      <c r="AF3" s="3">
        <v>1600</v>
      </c>
      <c r="AG3" s="3">
        <v>2904</v>
      </c>
      <c r="AH3" s="3">
        <v>0</v>
      </c>
      <c r="AI3" s="3">
        <v>2904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f t="shared" ref="AP3:AP27" si="7">U3+X3+AA3+AD3+AG3+AJ3+AM3</f>
        <v>17585</v>
      </c>
      <c r="AQ3" s="3">
        <f t="shared" ref="AQ3:AQ27" si="8">V3+Y3+AB3+AE3+AH3+AK3+AN3</f>
        <v>2032</v>
      </c>
      <c r="AR3" s="3">
        <f t="shared" ref="AR3:AR27" si="9">W3+Z3+AC3+AF3+AI3+AL3+AO3</f>
        <v>19617</v>
      </c>
      <c r="AS3" s="3">
        <v>1530</v>
      </c>
      <c r="AT3" s="3">
        <v>0</v>
      </c>
      <c r="AU3" s="3">
        <v>1530</v>
      </c>
      <c r="AV3" s="3">
        <v>503</v>
      </c>
      <c r="AW3" s="3">
        <v>66</v>
      </c>
      <c r="AX3" s="3">
        <v>569</v>
      </c>
      <c r="AY3" s="3">
        <v>325</v>
      </c>
      <c r="AZ3" s="3">
        <v>0</v>
      </c>
      <c r="BA3" s="3">
        <v>325</v>
      </c>
      <c r="BB3" s="3">
        <v>563</v>
      </c>
      <c r="BC3" s="3"/>
      <c r="BD3" s="3">
        <v>563</v>
      </c>
      <c r="BE3" s="8">
        <v>0</v>
      </c>
      <c r="BF3" s="8">
        <f t="shared" si="0"/>
        <v>0</v>
      </c>
      <c r="BG3" s="8">
        <v>0</v>
      </c>
      <c r="BH3" s="3">
        <f t="shared" si="1"/>
        <v>2921</v>
      </c>
      <c r="BI3" s="3">
        <f t="shared" si="2"/>
        <v>66</v>
      </c>
      <c r="BJ3" s="3">
        <f t="shared" si="3"/>
        <v>2987</v>
      </c>
      <c r="BK3" s="3">
        <v>2300</v>
      </c>
      <c r="BL3" s="3">
        <v>0</v>
      </c>
      <c r="BM3" s="3">
        <v>2300</v>
      </c>
      <c r="BN3" s="3">
        <v>690</v>
      </c>
      <c r="BO3" s="3">
        <v>0</v>
      </c>
      <c r="BP3" s="3">
        <v>690</v>
      </c>
      <c r="BQ3" s="3">
        <v>0</v>
      </c>
      <c r="BR3" s="3">
        <v>0</v>
      </c>
      <c r="BS3" s="3">
        <v>0</v>
      </c>
      <c r="BT3" s="3">
        <f t="shared" ref="BT3:BT27" si="10">BK3+BN3+BQ3</f>
        <v>2990</v>
      </c>
      <c r="BU3" s="3">
        <f t="shared" ref="BU3:BU27" si="11">BL3+BO3+BR3</f>
        <v>0</v>
      </c>
      <c r="BV3" s="3">
        <f t="shared" ref="BV3:BV27" si="12">BM3+BP3+BS3</f>
        <v>2990</v>
      </c>
      <c r="BW3" s="3">
        <f t="shared" si="4"/>
        <v>23496</v>
      </c>
      <c r="BX3" s="3">
        <f t="shared" si="5"/>
        <v>2098</v>
      </c>
      <c r="BY3" s="3">
        <f t="shared" si="6"/>
        <v>25594</v>
      </c>
      <c r="BZ3" s="3">
        <f t="shared" ref="BZ3:CB27" si="13">BW3*12</f>
        <v>281952</v>
      </c>
      <c r="CA3" s="3">
        <f t="shared" si="13"/>
        <v>25176</v>
      </c>
      <c r="CB3" s="3">
        <f t="shared" si="13"/>
        <v>307128</v>
      </c>
      <c r="CC3" s="3">
        <f t="shared" ref="CC3:CC27" si="14">CA3</f>
        <v>25176</v>
      </c>
      <c r="CD3" s="3">
        <v>15857</v>
      </c>
      <c r="CE3" s="3">
        <v>2017</v>
      </c>
      <c r="CF3" s="3">
        <v>17874</v>
      </c>
      <c r="CG3" s="3">
        <v>1412</v>
      </c>
      <c r="CH3" s="3">
        <v>0</v>
      </c>
      <c r="CI3" s="3">
        <v>1412</v>
      </c>
      <c r="CJ3" s="3">
        <v>200</v>
      </c>
      <c r="CK3" s="3">
        <v>0</v>
      </c>
      <c r="CL3" s="3">
        <v>200</v>
      </c>
      <c r="CM3" s="3">
        <v>116</v>
      </c>
      <c r="CN3" s="3">
        <v>15</v>
      </c>
      <c r="CO3" s="3">
        <v>131</v>
      </c>
    </row>
    <row r="4" spans="1:93" ht="15" customHeight="1" x14ac:dyDescent="0.25">
      <c r="A4" s="5" t="s">
        <v>98</v>
      </c>
      <c r="B4" s="6" t="s">
        <v>124</v>
      </c>
      <c r="C4" s="7" t="s">
        <v>149</v>
      </c>
      <c r="D4" s="8" t="s">
        <v>151</v>
      </c>
      <c r="E4" s="3"/>
      <c r="F4" s="3"/>
      <c r="G4" s="3"/>
      <c r="H4" s="3"/>
      <c r="I4" s="3"/>
      <c r="J4" s="3"/>
      <c r="K4" s="9">
        <v>39649</v>
      </c>
      <c r="L4" s="3"/>
      <c r="M4" s="3"/>
      <c r="N4" s="3" t="s">
        <v>93</v>
      </c>
      <c r="O4" s="3" t="s">
        <v>94</v>
      </c>
      <c r="P4" s="4"/>
      <c r="Q4" s="3"/>
      <c r="R4" s="3"/>
      <c r="S4" s="3"/>
      <c r="T4" s="3">
        <v>0</v>
      </c>
      <c r="U4" s="3">
        <v>12610</v>
      </c>
      <c r="V4" s="3">
        <v>0</v>
      </c>
      <c r="W4" s="3">
        <v>12610</v>
      </c>
      <c r="X4" s="3">
        <v>11762.5</v>
      </c>
      <c r="Y4" s="3">
        <v>1684</v>
      </c>
      <c r="Z4" s="3">
        <v>13446.5</v>
      </c>
      <c r="AA4" s="3">
        <v>1000</v>
      </c>
      <c r="AB4" s="3">
        <v>0</v>
      </c>
      <c r="AC4" s="3">
        <v>1000</v>
      </c>
      <c r="AD4" s="3">
        <v>1600</v>
      </c>
      <c r="AE4" s="3">
        <v>0</v>
      </c>
      <c r="AF4" s="3">
        <v>1600</v>
      </c>
      <c r="AG4" s="3">
        <v>3095.346000000005</v>
      </c>
      <c r="AH4" s="3">
        <v>0</v>
      </c>
      <c r="AI4" s="3">
        <v>3095.346000000005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f t="shared" si="7"/>
        <v>30067.846000000005</v>
      </c>
      <c r="AQ4" s="3">
        <f t="shared" si="8"/>
        <v>1684</v>
      </c>
      <c r="AR4" s="3">
        <f t="shared" si="9"/>
        <v>31751.846000000005</v>
      </c>
      <c r="AS4" s="3">
        <v>1950</v>
      </c>
      <c r="AT4" s="3">
        <v>0</v>
      </c>
      <c r="AU4" s="3">
        <v>1950</v>
      </c>
      <c r="AV4" s="3">
        <v>0</v>
      </c>
      <c r="AW4" s="3">
        <v>0</v>
      </c>
      <c r="AX4" s="3">
        <v>0</v>
      </c>
      <c r="AY4" s="3">
        <v>607</v>
      </c>
      <c r="AZ4" s="3">
        <v>0</v>
      </c>
      <c r="BA4" s="3">
        <v>607</v>
      </c>
      <c r="BB4" s="3">
        <v>1050</v>
      </c>
      <c r="BC4" s="3"/>
      <c r="BD4" s="3">
        <v>1050</v>
      </c>
      <c r="BE4" s="8">
        <v>0</v>
      </c>
      <c r="BF4" s="8">
        <f t="shared" si="0"/>
        <v>0</v>
      </c>
      <c r="BG4" s="8">
        <v>0</v>
      </c>
      <c r="BH4" s="3">
        <f t="shared" si="1"/>
        <v>3607</v>
      </c>
      <c r="BI4" s="3">
        <f t="shared" si="2"/>
        <v>0</v>
      </c>
      <c r="BJ4" s="3">
        <f t="shared" si="3"/>
        <v>3607</v>
      </c>
      <c r="BK4" s="3">
        <v>3300</v>
      </c>
      <c r="BL4" s="3">
        <v>0</v>
      </c>
      <c r="BM4" s="3">
        <v>3300</v>
      </c>
      <c r="BN4" s="3">
        <v>990</v>
      </c>
      <c r="BO4" s="3">
        <v>0</v>
      </c>
      <c r="BP4" s="3">
        <v>990</v>
      </c>
      <c r="BQ4" s="3">
        <v>0</v>
      </c>
      <c r="BR4" s="3">
        <v>0</v>
      </c>
      <c r="BS4" s="3">
        <v>0</v>
      </c>
      <c r="BT4" s="3">
        <f t="shared" si="10"/>
        <v>4290</v>
      </c>
      <c r="BU4" s="3">
        <f t="shared" si="11"/>
        <v>0</v>
      </c>
      <c r="BV4" s="3">
        <f t="shared" si="12"/>
        <v>4290</v>
      </c>
      <c r="BW4" s="3">
        <f t="shared" si="4"/>
        <v>37964.846000000005</v>
      </c>
      <c r="BX4" s="3">
        <f t="shared" si="5"/>
        <v>1684</v>
      </c>
      <c r="BY4" s="3">
        <f t="shared" si="6"/>
        <v>39648.846000000005</v>
      </c>
      <c r="BZ4" s="3">
        <f t="shared" si="13"/>
        <v>455578.15200000006</v>
      </c>
      <c r="CA4" s="3">
        <f t="shared" si="13"/>
        <v>20208</v>
      </c>
      <c r="CB4" s="3">
        <f t="shared" si="13"/>
        <v>475786.15200000006</v>
      </c>
      <c r="CC4" s="3">
        <f t="shared" si="14"/>
        <v>20208</v>
      </c>
      <c r="CD4" s="3">
        <v>28068</v>
      </c>
      <c r="CE4" s="3">
        <v>1684</v>
      </c>
      <c r="CF4" s="3">
        <v>29752</v>
      </c>
      <c r="CG4" s="3">
        <v>1800</v>
      </c>
      <c r="CH4" s="3">
        <v>0</v>
      </c>
      <c r="CI4" s="3">
        <v>1800</v>
      </c>
      <c r="CJ4" s="3">
        <v>200</v>
      </c>
      <c r="CK4" s="3">
        <v>0</v>
      </c>
      <c r="CL4" s="3">
        <v>200</v>
      </c>
      <c r="CM4" s="3">
        <v>0</v>
      </c>
      <c r="CN4" s="3">
        <v>0</v>
      </c>
      <c r="CO4" s="3">
        <v>0</v>
      </c>
    </row>
    <row r="5" spans="1:93" ht="15" customHeight="1" x14ac:dyDescent="0.25">
      <c r="A5" s="5" t="s">
        <v>99</v>
      </c>
      <c r="B5" s="6" t="s">
        <v>125</v>
      </c>
      <c r="C5" s="7" t="s">
        <v>148</v>
      </c>
      <c r="D5" s="8" t="s">
        <v>152</v>
      </c>
      <c r="E5" s="3"/>
      <c r="F5" s="3"/>
      <c r="G5" s="3"/>
      <c r="H5" s="3"/>
      <c r="I5" s="3"/>
      <c r="J5" s="3"/>
      <c r="K5" s="9">
        <v>34878</v>
      </c>
      <c r="L5" s="3"/>
      <c r="M5" s="3"/>
      <c r="N5" s="3" t="s">
        <v>93</v>
      </c>
      <c r="O5" s="3" t="s">
        <v>94</v>
      </c>
      <c r="P5" s="4"/>
      <c r="Q5" s="3"/>
      <c r="R5" s="3"/>
      <c r="S5" s="3"/>
      <c r="T5" s="3">
        <v>0</v>
      </c>
      <c r="U5" s="3">
        <v>10175</v>
      </c>
      <c r="V5" s="3">
        <v>0</v>
      </c>
      <c r="W5" s="3">
        <v>10175</v>
      </c>
      <c r="X5" s="3">
        <v>7218.5</v>
      </c>
      <c r="Y5" s="3">
        <v>2500</v>
      </c>
      <c r="Z5" s="3">
        <v>9718.5</v>
      </c>
      <c r="AA5" s="3">
        <v>1000</v>
      </c>
      <c r="AB5" s="3">
        <v>0</v>
      </c>
      <c r="AC5" s="3">
        <v>1000</v>
      </c>
      <c r="AD5" s="3">
        <v>1600</v>
      </c>
      <c r="AE5" s="3">
        <v>0</v>
      </c>
      <c r="AF5" s="3">
        <v>1600</v>
      </c>
      <c r="AG5" s="3">
        <v>4807</v>
      </c>
      <c r="AH5" s="3">
        <v>0</v>
      </c>
      <c r="AI5" s="3">
        <v>4807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f t="shared" si="7"/>
        <v>24800.5</v>
      </c>
      <c r="AQ5" s="3">
        <f t="shared" si="8"/>
        <v>2500</v>
      </c>
      <c r="AR5" s="3">
        <f t="shared" si="9"/>
        <v>27300.5</v>
      </c>
      <c r="AS5" s="3">
        <v>1950</v>
      </c>
      <c r="AT5" s="3">
        <v>0</v>
      </c>
      <c r="AU5" s="3">
        <v>1950</v>
      </c>
      <c r="AV5" s="3">
        <v>0</v>
      </c>
      <c r="AW5" s="3">
        <v>0</v>
      </c>
      <c r="AX5" s="3">
        <v>0</v>
      </c>
      <c r="AY5" s="3">
        <v>489</v>
      </c>
      <c r="AZ5" s="3">
        <v>0</v>
      </c>
      <c r="BA5" s="3">
        <v>489</v>
      </c>
      <c r="BB5" s="3">
        <v>848</v>
      </c>
      <c r="BC5" s="3"/>
      <c r="BD5" s="3">
        <v>848</v>
      </c>
      <c r="BE5" s="8">
        <v>0</v>
      </c>
      <c r="BF5" s="8">
        <f t="shared" si="0"/>
        <v>0</v>
      </c>
      <c r="BG5" s="8">
        <v>0</v>
      </c>
      <c r="BH5" s="3">
        <f t="shared" si="1"/>
        <v>3287</v>
      </c>
      <c r="BI5" s="3">
        <f t="shared" si="2"/>
        <v>0</v>
      </c>
      <c r="BJ5" s="3">
        <f t="shared" si="3"/>
        <v>3287</v>
      </c>
      <c r="BK5" s="3">
        <v>3300</v>
      </c>
      <c r="BL5" s="3">
        <v>0</v>
      </c>
      <c r="BM5" s="3">
        <v>3300</v>
      </c>
      <c r="BN5" s="3">
        <v>990</v>
      </c>
      <c r="BO5" s="3">
        <v>0</v>
      </c>
      <c r="BP5" s="3">
        <v>990</v>
      </c>
      <c r="BQ5" s="3">
        <v>0</v>
      </c>
      <c r="BR5" s="3">
        <v>0</v>
      </c>
      <c r="BS5" s="3">
        <v>0</v>
      </c>
      <c r="BT5" s="3">
        <f t="shared" si="10"/>
        <v>4290</v>
      </c>
      <c r="BU5" s="3">
        <f t="shared" si="11"/>
        <v>0</v>
      </c>
      <c r="BV5" s="3">
        <f t="shared" si="12"/>
        <v>4290</v>
      </c>
      <c r="BW5" s="3">
        <f t="shared" si="4"/>
        <v>32377.5</v>
      </c>
      <c r="BX5" s="3">
        <f t="shared" si="5"/>
        <v>2500</v>
      </c>
      <c r="BY5" s="3">
        <f t="shared" si="6"/>
        <v>34877.5</v>
      </c>
      <c r="BZ5" s="3">
        <f t="shared" si="13"/>
        <v>388530</v>
      </c>
      <c r="CA5" s="3">
        <f t="shared" si="13"/>
        <v>30000</v>
      </c>
      <c r="CB5" s="3">
        <f t="shared" si="13"/>
        <v>418530</v>
      </c>
      <c r="CC5" s="3">
        <f t="shared" si="14"/>
        <v>30000</v>
      </c>
      <c r="CD5" s="3">
        <v>22801</v>
      </c>
      <c r="CE5" s="3">
        <v>2500</v>
      </c>
      <c r="CF5" s="3">
        <v>25301</v>
      </c>
      <c r="CG5" s="3">
        <v>1800</v>
      </c>
      <c r="CH5" s="3">
        <v>0</v>
      </c>
      <c r="CI5" s="3">
        <v>1800</v>
      </c>
      <c r="CJ5" s="3">
        <v>200</v>
      </c>
      <c r="CK5" s="3">
        <v>0</v>
      </c>
      <c r="CL5" s="3">
        <v>200</v>
      </c>
      <c r="CM5" s="3">
        <v>0</v>
      </c>
      <c r="CN5" s="3">
        <v>0</v>
      </c>
      <c r="CO5" s="3">
        <v>0</v>
      </c>
    </row>
    <row r="6" spans="1:93" ht="15" customHeight="1" x14ac:dyDescent="0.25">
      <c r="A6" s="5" t="s">
        <v>100</v>
      </c>
      <c r="B6" s="6" t="s">
        <v>126</v>
      </c>
      <c r="C6" s="7" t="s">
        <v>148</v>
      </c>
      <c r="D6" s="8" t="s">
        <v>152</v>
      </c>
      <c r="E6" s="3"/>
      <c r="F6" s="3"/>
      <c r="G6" s="3"/>
      <c r="H6" s="3"/>
      <c r="I6" s="3"/>
      <c r="J6" s="3"/>
      <c r="K6" s="9">
        <v>44020</v>
      </c>
      <c r="L6" s="3"/>
      <c r="M6" s="3"/>
      <c r="N6" s="3" t="s">
        <v>93</v>
      </c>
      <c r="O6" s="3" t="s">
        <v>94</v>
      </c>
      <c r="P6" s="4"/>
      <c r="Q6" s="3"/>
      <c r="R6" s="3"/>
      <c r="S6" s="3"/>
      <c r="T6" s="3">
        <v>0</v>
      </c>
      <c r="U6" s="3">
        <v>12592</v>
      </c>
      <c r="V6" s="3">
        <v>0</v>
      </c>
      <c r="W6" s="3">
        <v>12592</v>
      </c>
      <c r="X6" s="3">
        <v>11740</v>
      </c>
      <c r="Y6" s="3">
        <v>3100</v>
      </c>
      <c r="Z6" s="3">
        <v>14839.5</v>
      </c>
      <c r="AA6" s="3">
        <v>1000</v>
      </c>
      <c r="AB6" s="3">
        <v>0</v>
      </c>
      <c r="AC6" s="3">
        <v>1000</v>
      </c>
      <c r="AD6" s="3">
        <v>1600</v>
      </c>
      <c r="AE6" s="3">
        <v>0</v>
      </c>
      <c r="AF6" s="3">
        <v>1600</v>
      </c>
      <c r="AG6" s="3">
        <v>6093</v>
      </c>
      <c r="AH6" s="3">
        <v>0</v>
      </c>
      <c r="AI6" s="3">
        <v>6093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f t="shared" si="7"/>
        <v>33025</v>
      </c>
      <c r="AQ6" s="3">
        <f t="shared" si="8"/>
        <v>3100</v>
      </c>
      <c r="AR6" s="3">
        <f t="shared" si="9"/>
        <v>36124.5</v>
      </c>
      <c r="AS6" s="3">
        <v>1950</v>
      </c>
      <c r="AT6" s="3">
        <v>0</v>
      </c>
      <c r="AU6" s="3">
        <v>1950</v>
      </c>
      <c r="AV6" s="3">
        <v>0</v>
      </c>
      <c r="AW6" s="3">
        <v>0</v>
      </c>
      <c r="AX6" s="3">
        <v>0</v>
      </c>
      <c r="AY6" s="3">
        <v>606</v>
      </c>
      <c r="AZ6" s="3">
        <v>0</v>
      </c>
      <c r="BA6" s="3">
        <v>606</v>
      </c>
      <c r="BB6" s="3">
        <v>1049</v>
      </c>
      <c r="BC6" s="3"/>
      <c r="BD6" s="3">
        <v>1049</v>
      </c>
      <c r="BE6" s="8">
        <v>0</v>
      </c>
      <c r="BF6" s="8">
        <f t="shared" si="0"/>
        <v>0</v>
      </c>
      <c r="BG6" s="8">
        <v>0</v>
      </c>
      <c r="BH6" s="3">
        <f t="shared" si="1"/>
        <v>3605</v>
      </c>
      <c r="BI6" s="3">
        <f t="shared" si="2"/>
        <v>0</v>
      </c>
      <c r="BJ6" s="3">
        <f t="shared" si="3"/>
        <v>3605</v>
      </c>
      <c r="BK6" s="3">
        <v>3300</v>
      </c>
      <c r="BL6" s="3">
        <v>0</v>
      </c>
      <c r="BM6" s="3">
        <v>3300</v>
      </c>
      <c r="BN6" s="3">
        <v>990</v>
      </c>
      <c r="BO6" s="3">
        <v>0</v>
      </c>
      <c r="BP6" s="3">
        <v>990</v>
      </c>
      <c r="BQ6" s="3">
        <v>0</v>
      </c>
      <c r="BR6" s="3">
        <v>0</v>
      </c>
      <c r="BS6" s="3">
        <v>0</v>
      </c>
      <c r="BT6" s="3">
        <f t="shared" si="10"/>
        <v>4290</v>
      </c>
      <c r="BU6" s="3">
        <f t="shared" si="11"/>
        <v>0</v>
      </c>
      <c r="BV6" s="3">
        <f t="shared" si="12"/>
        <v>4290</v>
      </c>
      <c r="BW6" s="3">
        <f t="shared" si="4"/>
        <v>40920</v>
      </c>
      <c r="BX6" s="3">
        <f t="shared" si="5"/>
        <v>3100</v>
      </c>
      <c r="BY6" s="3">
        <f t="shared" si="6"/>
        <v>44019.5</v>
      </c>
      <c r="BZ6" s="3">
        <f t="shared" si="13"/>
        <v>491040</v>
      </c>
      <c r="CA6" s="3">
        <f t="shared" si="13"/>
        <v>37200</v>
      </c>
      <c r="CB6" s="3">
        <f t="shared" si="13"/>
        <v>528234</v>
      </c>
      <c r="CC6" s="3">
        <f t="shared" si="14"/>
        <v>37200</v>
      </c>
      <c r="CD6" s="3">
        <v>31025</v>
      </c>
      <c r="CE6" s="3">
        <v>3100</v>
      </c>
      <c r="CF6" s="3">
        <v>34125</v>
      </c>
      <c r="CG6" s="3">
        <v>1800</v>
      </c>
      <c r="CH6" s="3">
        <v>0</v>
      </c>
      <c r="CI6" s="3">
        <v>1800</v>
      </c>
      <c r="CJ6" s="3">
        <v>200</v>
      </c>
      <c r="CK6" s="3">
        <v>0</v>
      </c>
      <c r="CL6" s="3">
        <v>200</v>
      </c>
      <c r="CM6" s="3">
        <v>0</v>
      </c>
      <c r="CN6" s="3">
        <v>0</v>
      </c>
      <c r="CO6" s="3">
        <v>0</v>
      </c>
    </row>
    <row r="7" spans="1:93" ht="15" customHeight="1" x14ac:dyDescent="0.25">
      <c r="A7" s="5" t="s">
        <v>101</v>
      </c>
      <c r="B7" s="6" t="s">
        <v>127</v>
      </c>
      <c r="C7" s="7" t="s">
        <v>148</v>
      </c>
      <c r="D7" s="8" t="s">
        <v>150</v>
      </c>
      <c r="E7" s="3"/>
      <c r="F7" s="3"/>
      <c r="G7" s="3"/>
      <c r="H7" s="3"/>
      <c r="I7" s="3"/>
      <c r="J7" s="3"/>
      <c r="K7" s="9">
        <v>25541</v>
      </c>
      <c r="L7" s="3"/>
      <c r="M7" s="3"/>
      <c r="N7" s="3" t="s">
        <v>93</v>
      </c>
      <c r="O7" s="3" t="s">
        <v>94</v>
      </c>
      <c r="P7" s="4"/>
      <c r="Q7" s="3"/>
      <c r="R7" s="3"/>
      <c r="S7" s="3"/>
      <c r="T7" s="3">
        <v>0</v>
      </c>
      <c r="U7" s="3">
        <v>6372</v>
      </c>
      <c r="V7" s="3">
        <v>0</v>
      </c>
      <c r="W7" s="3">
        <v>6372</v>
      </c>
      <c r="X7" s="3">
        <v>5918</v>
      </c>
      <c r="Y7" s="3">
        <v>1452</v>
      </c>
      <c r="Z7" s="3">
        <v>7370</v>
      </c>
      <c r="AA7" s="3">
        <v>1000</v>
      </c>
      <c r="AB7" s="3">
        <v>0</v>
      </c>
      <c r="AC7" s="3">
        <v>1000</v>
      </c>
      <c r="AD7" s="3">
        <v>1600</v>
      </c>
      <c r="AE7" s="3">
        <v>0</v>
      </c>
      <c r="AF7" s="3">
        <v>1600</v>
      </c>
      <c r="AG7" s="3">
        <v>3233</v>
      </c>
      <c r="AH7" s="3">
        <v>0</v>
      </c>
      <c r="AI7" s="3">
        <v>3233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f t="shared" si="7"/>
        <v>18123</v>
      </c>
      <c r="AQ7" s="3">
        <f t="shared" si="8"/>
        <v>1452</v>
      </c>
      <c r="AR7" s="3">
        <f t="shared" si="9"/>
        <v>19575</v>
      </c>
      <c r="AS7" s="3">
        <v>1587</v>
      </c>
      <c r="AT7" s="3">
        <v>0</v>
      </c>
      <c r="AU7" s="3">
        <v>1587</v>
      </c>
      <c r="AV7" s="3">
        <v>504</v>
      </c>
      <c r="AW7" s="3">
        <v>47</v>
      </c>
      <c r="AX7" s="3">
        <v>552</v>
      </c>
      <c r="AY7" s="3">
        <v>306</v>
      </c>
      <c r="AZ7" s="3">
        <v>0</v>
      </c>
      <c r="BA7" s="3">
        <v>306</v>
      </c>
      <c r="BB7" s="3">
        <v>531</v>
      </c>
      <c r="BC7" s="3"/>
      <c r="BD7" s="3">
        <v>531</v>
      </c>
      <c r="BE7" s="8">
        <v>0</v>
      </c>
      <c r="BF7" s="8">
        <f t="shared" si="0"/>
        <v>0</v>
      </c>
      <c r="BG7" s="8">
        <v>0</v>
      </c>
      <c r="BH7" s="3">
        <f t="shared" si="1"/>
        <v>2928</v>
      </c>
      <c r="BI7" s="3">
        <f t="shared" si="2"/>
        <v>47</v>
      </c>
      <c r="BJ7" s="3">
        <f t="shared" si="3"/>
        <v>2976</v>
      </c>
      <c r="BK7" s="3">
        <v>2300</v>
      </c>
      <c r="BL7" s="3">
        <v>0</v>
      </c>
      <c r="BM7" s="3">
        <v>2300</v>
      </c>
      <c r="BN7" s="3">
        <v>690</v>
      </c>
      <c r="BO7" s="3">
        <v>0</v>
      </c>
      <c r="BP7" s="3">
        <v>690</v>
      </c>
      <c r="BQ7" s="3">
        <v>0</v>
      </c>
      <c r="BR7" s="3">
        <v>0</v>
      </c>
      <c r="BS7" s="3">
        <v>0</v>
      </c>
      <c r="BT7" s="3">
        <f t="shared" si="10"/>
        <v>2990</v>
      </c>
      <c r="BU7" s="3">
        <f t="shared" si="11"/>
        <v>0</v>
      </c>
      <c r="BV7" s="3">
        <f t="shared" si="12"/>
        <v>2990</v>
      </c>
      <c r="BW7" s="3">
        <f t="shared" si="4"/>
        <v>24041</v>
      </c>
      <c r="BX7" s="3">
        <f t="shared" si="5"/>
        <v>1499</v>
      </c>
      <c r="BY7" s="3">
        <f t="shared" si="6"/>
        <v>25541</v>
      </c>
      <c r="BZ7" s="3">
        <f t="shared" si="13"/>
        <v>288492</v>
      </c>
      <c r="CA7" s="3">
        <f t="shared" si="13"/>
        <v>17988</v>
      </c>
      <c r="CB7" s="3">
        <f t="shared" si="13"/>
        <v>306492</v>
      </c>
      <c r="CC7" s="3">
        <f t="shared" si="14"/>
        <v>17988</v>
      </c>
      <c r="CD7" s="3">
        <v>16342</v>
      </c>
      <c r="CE7" s="3">
        <v>1441</v>
      </c>
      <c r="CF7" s="3">
        <v>17783</v>
      </c>
      <c r="CG7" s="3">
        <v>1465</v>
      </c>
      <c r="CH7" s="3">
        <v>0</v>
      </c>
      <c r="CI7" s="3">
        <v>1465</v>
      </c>
      <c r="CJ7" s="3">
        <v>200</v>
      </c>
      <c r="CK7" s="3">
        <v>0</v>
      </c>
      <c r="CL7" s="3">
        <v>200</v>
      </c>
      <c r="CM7" s="3">
        <v>116</v>
      </c>
      <c r="CN7" s="3">
        <v>11</v>
      </c>
      <c r="CO7" s="3">
        <v>127</v>
      </c>
    </row>
    <row r="8" spans="1:93" ht="15" customHeight="1" x14ac:dyDescent="0.25">
      <c r="A8" s="5" t="s">
        <v>102</v>
      </c>
      <c r="B8" s="6" t="s">
        <v>128</v>
      </c>
      <c r="C8" s="7" t="s">
        <v>148</v>
      </c>
      <c r="D8" s="8" t="s">
        <v>150</v>
      </c>
      <c r="E8" s="3"/>
      <c r="F8" s="3"/>
      <c r="G8" s="3"/>
      <c r="H8" s="3"/>
      <c r="I8" s="3"/>
      <c r="J8" s="3"/>
      <c r="K8" s="9">
        <v>28949</v>
      </c>
      <c r="L8" s="3"/>
      <c r="M8" s="3"/>
      <c r="N8" s="3" t="s">
        <v>93</v>
      </c>
      <c r="O8" s="3" t="s">
        <v>94</v>
      </c>
      <c r="P8" s="4"/>
      <c r="Q8" s="3"/>
      <c r="R8" s="3"/>
      <c r="S8" s="3"/>
      <c r="T8" s="3">
        <v>0</v>
      </c>
      <c r="U8" s="3">
        <v>6232</v>
      </c>
      <c r="V8" s="3">
        <v>0</v>
      </c>
      <c r="W8" s="3">
        <v>6232</v>
      </c>
      <c r="X8" s="3">
        <v>5790</v>
      </c>
      <c r="Y8" s="3">
        <v>871</v>
      </c>
      <c r="Z8" s="3">
        <v>6661</v>
      </c>
      <c r="AA8" s="3">
        <v>1000</v>
      </c>
      <c r="AB8" s="3">
        <v>0</v>
      </c>
      <c r="AC8" s="3">
        <v>1000</v>
      </c>
      <c r="AD8" s="3">
        <v>1600</v>
      </c>
      <c r="AE8" s="3">
        <v>0</v>
      </c>
      <c r="AF8" s="3">
        <v>1600</v>
      </c>
      <c r="AG8" s="3">
        <v>7048.5502000000015</v>
      </c>
      <c r="AH8" s="3">
        <v>0</v>
      </c>
      <c r="AI8" s="3">
        <v>7048.5502000000015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f t="shared" si="7"/>
        <v>21670.550200000001</v>
      </c>
      <c r="AQ8" s="3">
        <f t="shared" si="8"/>
        <v>871</v>
      </c>
      <c r="AR8" s="3">
        <f t="shared" si="9"/>
        <v>22541.550200000001</v>
      </c>
      <c r="AS8" s="3">
        <v>1950</v>
      </c>
      <c r="AT8" s="3">
        <v>0</v>
      </c>
      <c r="AU8" s="3">
        <v>1950</v>
      </c>
      <c r="AV8" s="3">
        <v>620</v>
      </c>
      <c r="AW8" s="3">
        <v>28</v>
      </c>
      <c r="AX8" s="3">
        <v>648</v>
      </c>
      <c r="AY8" s="3">
        <v>300</v>
      </c>
      <c r="AZ8" s="3">
        <v>0</v>
      </c>
      <c r="BA8" s="3">
        <v>300</v>
      </c>
      <c r="BB8" s="3">
        <v>519</v>
      </c>
      <c r="BC8" s="3"/>
      <c r="BD8" s="3">
        <v>519</v>
      </c>
      <c r="BE8" s="8">
        <v>0</v>
      </c>
      <c r="BF8" s="8">
        <f t="shared" si="0"/>
        <v>0</v>
      </c>
      <c r="BG8" s="8">
        <v>0</v>
      </c>
      <c r="BH8" s="3">
        <f t="shared" si="1"/>
        <v>3389</v>
      </c>
      <c r="BI8" s="3">
        <f t="shared" si="2"/>
        <v>28</v>
      </c>
      <c r="BJ8" s="3">
        <f t="shared" si="3"/>
        <v>3417</v>
      </c>
      <c r="BK8" s="3">
        <v>2300</v>
      </c>
      <c r="BL8" s="3">
        <v>0</v>
      </c>
      <c r="BM8" s="3">
        <v>2300</v>
      </c>
      <c r="BN8" s="3">
        <v>690</v>
      </c>
      <c r="BO8" s="3">
        <v>0</v>
      </c>
      <c r="BP8" s="3">
        <v>690</v>
      </c>
      <c r="BQ8" s="3">
        <v>0</v>
      </c>
      <c r="BR8" s="3">
        <v>0</v>
      </c>
      <c r="BS8" s="3">
        <v>0</v>
      </c>
      <c r="BT8" s="3">
        <f t="shared" si="10"/>
        <v>2990</v>
      </c>
      <c r="BU8" s="3">
        <f t="shared" si="11"/>
        <v>0</v>
      </c>
      <c r="BV8" s="3">
        <f t="shared" si="12"/>
        <v>2990</v>
      </c>
      <c r="BW8" s="3">
        <f t="shared" si="4"/>
        <v>28049.550200000001</v>
      </c>
      <c r="BX8" s="3">
        <f t="shared" si="5"/>
        <v>899</v>
      </c>
      <c r="BY8" s="3">
        <f t="shared" si="6"/>
        <v>28948.550200000001</v>
      </c>
      <c r="BZ8" s="3">
        <f t="shared" si="13"/>
        <v>336594.60240000003</v>
      </c>
      <c r="CA8" s="3">
        <f t="shared" si="13"/>
        <v>10788</v>
      </c>
      <c r="CB8" s="3">
        <f t="shared" si="13"/>
        <v>347382.60240000003</v>
      </c>
      <c r="CC8" s="3">
        <f t="shared" si="14"/>
        <v>10788</v>
      </c>
      <c r="CD8" s="3">
        <v>19528</v>
      </c>
      <c r="CE8" s="3">
        <v>864</v>
      </c>
      <c r="CF8" s="3">
        <v>20392</v>
      </c>
      <c r="CG8" s="3">
        <v>1800</v>
      </c>
      <c r="CH8" s="3">
        <v>0</v>
      </c>
      <c r="CI8" s="3">
        <v>1800</v>
      </c>
      <c r="CJ8" s="3">
        <v>200</v>
      </c>
      <c r="CK8" s="3">
        <v>0</v>
      </c>
      <c r="CL8" s="3">
        <v>200</v>
      </c>
      <c r="CM8" s="3">
        <v>143</v>
      </c>
      <c r="CN8" s="3">
        <v>7</v>
      </c>
      <c r="CO8" s="3">
        <v>150</v>
      </c>
    </row>
    <row r="9" spans="1:93" ht="15" customHeight="1" x14ac:dyDescent="0.25">
      <c r="A9" s="5" t="s">
        <v>103</v>
      </c>
      <c r="B9" s="6" t="s">
        <v>129</v>
      </c>
      <c r="C9" s="7" t="s">
        <v>148</v>
      </c>
      <c r="D9" s="8" t="s">
        <v>150</v>
      </c>
      <c r="E9" s="3"/>
      <c r="F9" s="3"/>
      <c r="G9" s="3"/>
      <c r="H9" s="3"/>
      <c r="I9" s="3"/>
      <c r="J9" s="3"/>
      <c r="K9" s="9">
        <v>27834</v>
      </c>
      <c r="L9" s="3"/>
      <c r="M9" s="3"/>
      <c r="N9" s="3" t="s">
        <v>93</v>
      </c>
      <c r="O9" s="3" t="s">
        <v>94</v>
      </c>
      <c r="P9" s="4"/>
      <c r="Q9" s="3"/>
      <c r="R9" s="3"/>
      <c r="S9" s="3"/>
      <c r="T9" s="3">
        <v>0</v>
      </c>
      <c r="U9" s="3">
        <v>6000</v>
      </c>
      <c r="V9" s="3">
        <v>0</v>
      </c>
      <c r="W9" s="3">
        <v>6000</v>
      </c>
      <c r="X9" s="3">
        <v>5500</v>
      </c>
      <c r="Y9" s="3">
        <v>1451</v>
      </c>
      <c r="Z9" s="3">
        <v>6951</v>
      </c>
      <c r="AA9" s="3">
        <v>1000</v>
      </c>
      <c r="AB9" s="3">
        <v>0</v>
      </c>
      <c r="AC9" s="3">
        <v>1000</v>
      </c>
      <c r="AD9" s="3">
        <v>1600</v>
      </c>
      <c r="AE9" s="3">
        <v>0</v>
      </c>
      <c r="AF9" s="3">
        <v>1600</v>
      </c>
      <c r="AG9" s="3">
        <v>5992</v>
      </c>
      <c r="AH9" s="3">
        <v>0</v>
      </c>
      <c r="AI9" s="3">
        <v>5992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f t="shared" si="7"/>
        <v>20092</v>
      </c>
      <c r="AQ9" s="3">
        <f t="shared" si="8"/>
        <v>1451</v>
      </c>
      <c r="AR9" s="3">
        <f t="shared" si="9"/>
        <v>21543</v>
      </c>
      <c r="AS9" s="3">
        <v>1897</v>
      </c>
      <c r="AT9" s="3">
        <v>0</v>
      </c>
      <c r="AU9" s="3">
        <v>1897</v>
      </c>
      <c r="AV9" s="3">
        <v>568</v>
      </c>
      <c r="AW9" s="3">
        <v>47</v>
      </c>
      <c r="AX9" s="3">
        <v>616</v>
      </c>
      <c r="AY9" s="3">
        <v>289</v>
      </c>
      <c r="AZ9" s="3">
        <v>0</v>
      </c>
      <c r="BA9" s="3">
        <v>289</v>
      </c>
      <c r="BB9" s="3">
        <v>500</v>
      </c>
      <c r="BC9" s="3"/>
      <c r="BD9" s="3">
        <v>500</v>
      </c>
      <c r="BE9" s="8">
        <v>0</v>
      </c>
      <c r="BF9" s="8">
        <f t="shared" si="0"/>
        <v>0</v>
      </c>
      <c r="BG9" s="8">
        <v>0</v>
      </c>
      <c r="BH9" s="3">
        <f t="shared" si="1"/>
        <v>3254</v>
      </c>
      <c r="BI9" s="3">
        <f t="shared" si="2"/>
        <v>47</v>
      </c>
      <c r="BJ9" s="3">
        <f t="shared" si="3"/>
        <v>3302</v>
      </c>
      <c r="BK9" s="3">
        <v>2300</v>
      </c>
      <c r="BL9" s="3">
        <v>0</v>
      </c>
      <c r="BM9" s="3">
        <v>2300</v>
      </c>
      <c r="BN9" s="3">
        <v>690</v>
      </c>
      <c r="BO9" s="3">
        <v>0</v>
      </c>
      <c r="BP9" s="3">
        <v>690</v>
      </c>
      <c r="BQ9" s="3">
        <v>0</v>
      </c>
      <c r="BR9" s="3">
        <v>0</v>
      </c>
      <c r="BS9" s="3">
        <v>0</v>
      </c>
      <c r="BT9" s="3">
        <f t="shared" si="10"/>
        <v>2990</v>
      </c>
      <c r="BU9" s="3">
        <f t="shared" si="11"/>
        <v>0</v>
      </c>
      <c r="BV9" s="3">
        <f t="shared" si="12"/>
        <v>2990</v>
      </c>
      <c r="BW9" s="3">
        <f t="shared" si="4"/>
        <v>26336</v>
      </c>
      <c r="BX9" s="3">
        <f t="shared" si="5"/>
        <v>1498</v>
      </c>
      <c r="BY9" s="3">
        <f t="shared" si="6"/>
        <v>27835</v>
      </c>
      <c r="BZ9" s="3">
        <f t="shared" si="13"/>
        <v>316032</v>
      </c>
      <c r="CA9" s="3">
        <f t="shared" si="13"/>
        <v>17976</v>
      </c>
      <c r="CB9" s="3">
        <f t="shared" si="13"/>
        <v>334020</v>
      </c>
      <c r="CC9" s="3">
        <f t="shared" si="14"/>
        <v>17976</v>
      </c>
      <c r="CD9" s="3">
        <v>18010</v>
      </c>
      <c r="CE9" s="3">
        <v>1440</v>
      </c>
      <c r="CF9" s="3">
        <v>19450</v>
      </c>
      <c r="CG9" s="3">
        <v>1751</v>
      </c>
      <c r="CH9" s="3">
        <v>0</v>
      </c>
      <c r="CI9" s="3">
        <v>1751</v>
      </c>
      <c r="CJ9" s="3">
        <v>200</v>
      </c>
      <c r="CK9" s="3">
        <v>0</v>
      </c>
      <c r="CL9" s="3">
        <v>200</v>
      </c>
      <c r="CM9" s="3">
        <v>131</v>
      </c>
      <c r="CN9" s="3">
        <v>11</v>
      </c>
      <c r="CO9" s="3">
        <v>142</v>
      </c>
    </row>
    <row r="10" spans="1:93" ht="15" customHeight="1" x14ac:dyDescent="0.25">
      <c r="A10" s="5" t="s">
        <v>104</v>
      </c>
      <c r="B10" s="6" t="s">
        <v>130</v>
      </c>
      <c r="C10" s="7" t="s">
        <v>148</v>
      </c>
      <c r="D10" s="8" t="s">
        <v>150</v>
      </c>
      <c r="E10" s="3"/>
      <c r="F10" s="3"/>
      <c r="G10" s="3"/>
      <c r="H10" s="3"/>
      <c r="I10" s="3"/>
      <c r="J10" s="3"/>
      <c r="K10" s="9">
        <v>30031</v>
      </c>
      <c r="L10" s="3"/>
      <c r="M10" s="3"/>
      <c r="N10" s="3" t="s">
        <v>93</v>
      </c>
      <c r="O10" s="3" t="s">
        <v>94</v>
      </c>
      <c r="P10" s="4"/>
      <c r="Q10" s="3"/>
      <c r="R10" s="3"/>
      <c r="S10" s="3"/>
      <c r="T10" s="3">
        <v>0</v>
      </c>
      <c r="U10" s="3">
        <v>6199</v>
      </c>
      <c r="V10" s="3">
        <v>0</v>
      </c>
      <c r="W10" s="3">
        <v>6199</v>
      </c>
      <c r="X10" s="3">
        <v>5748.5</v>
      </c>
      <c r="Y10" s="3">
        <v>2032</v>
      </c>
      <c r="Z10" s="3">
        <v>7780.5</v>
      </c>
      <c r="AA10" s="3">
        <v>1000</v>
      </c>
      <c r="AB10" s="3">
        <v>0</v>
      </c>
      <c r="AC10" s="3">
        <v>1000</v>
      </c>
      <c r="AD10" s="3">
        <v>1600</v>
      </c>
      <c r="AE10" s="3">
        <v>0</v>
      </c>
      <c r="AF10" s="3">
        <v>1600</v>
      </c>
      <c r="AG10" s="3">
        <v>7696.0404300000009</v>
      </c>
      <c r="AH10" s="3">
        <v>0</v>
      </c>
      <c r="AI10" s="3">
        <v>7696.0404300000009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f t="shared" si="7"/>
        <v>22243.540430000001</v>
      </c>
      <c r="AQ10" s="3">
        <f t="shared" si="8"/>
        <v>2032</v>
      </c>
      <c r="AR10" s="3">
        <f t="shared" si="9"/>
        <v>24275.540430000001</v>
      </c>
      <c r="AS10" s="3">
        <v>1950</v>
      </c>
      <c r="AT10" s="3">
        <v>0</v>
      </c>
      <c r="AU10" s="3">
        <v>1950</v>
      </c>
      <c r="AV10" s="3">
        <v>638</v>
      </c>
      <c r="AW10" s="3">
        <v>66</v>
      </c>
      <c r="AX10" s="3">
        <v>704</v>
      </c>
      <c r="AY10" s="3">
        <v>298</v>
      </c>
      <c r="AZ10" s="3">
        <v>0</v>
      </c>
      <c r="BA10" s="3">
        <v>298</v>
      </c>
      <c r="BB10" s="3">
        <v>516</v>
      </c>
      <c r="BC10" s="3"/>
      <c r="BD10" s="3">
        <v>516</v>
      </c>
      <c r="BE10" s="8">
        <v>0</v>
      </c>
      <c r="BF10" s="8">
        <f t="shared" si="0"/>
        <v>0</v>
      </c>
      <c r="BG10" s="8">
        <v>0</v>
      </c>
      <c r="BH10" s="3">
        <f t="shared" si="1"/>
        <v>3402</v>
      </c>
      <c r="BI10" s="3">
        <f t="shared" si="2"/>
        <v>66</v>
      </c>
      <c r="BJ10" s="3">
        <f t="shared" si="3"/>
        <v>3468</v>
      </c>
      <c r="BK10" s="3">
        <v>2300</v>
      </c>
      <c r="BL10" s="3">
        <v>0</v>
      </c>
      <c r="BM10" s="3">
        <v>2300</v>
      </c>
      <c r="BN10" s="3">
        <v>690</v>
      </c>
      <c r="BO10" s="3">
        <v>0</v>
      </c>
      <c r="BP10" s="3">
        <v>690</v>
      </c>
      <c r="BQ10" s="3">
        <v>0</v>
      </c>
      <c r="BR10" s="3">
        <v>0</v>
      </c>
      <c r="BS10" s="3">
        <v>0</v>
      </c>
      <c r="BT10" s="3">
        <f t="shared" si="10"/>
        <v>2990</v>
      </c>
      <c r="BU10" s="3">
        <f t="shared" si="11"/>
        <v>0</v>
      </c>
      <c r="BV10" s="3">
        <f t="shared" si="12"/>
        <v>2990</v>
      </c>
      <c r="BW10" s="3">
        <f t="shared" si="4"/>
        <v>28635.540430000001</v>
      </c>
      <c r="BX10" s="3">
        <f t="shared" si="5"/>
        <v>2098</v>
      </c>
      <c r="BY10" s="3">
        <f t="shared" si="6"/>
        <v>30733.540430000001</v>
      </c>
      <c r="BZ10" s="3">
        <f t="shared" si="13"/>
        <v>343626.48516000004</v>
      </c>
      <c r="CA10" s="3">
        <f t="shared" si="13"/>
        <v>25176</v>
      </c>
      <c r="CB10" s="3">
        <f t="shared" si="13"/>
        <v>368802.48516000004</v>
      </c>
      <c r="CC10" s="3">
        <f t="shared" si="14"/>
        <v>25176</v>
      </c>
      <c r="CD10" s="3">
        <v>20097</v>
      </c>
      <c r="CE10" s="3">
        <v>2017</v>
      </c>
      <c r="CF10" s="3">
        <v>22114</v>
      </c>
      <c r="CG10" s="3">
        <v>1800</v>
      </c>
      <c r="CH10" s="3">
        <v>0</v>
      </c>
      <c r="CI10" s="3">
        <v>1800</v>
      </c>
      <c r="CJ10" s="3">
        <v>200</v>
      </c>
      <c r="CK10" s="3">
        <v>0</v>
      </c>
      <c r="CL10" s="3">
        <v>200</v>
      </c>
      <c r="CM10" s="3">
        <v>147</v>
      </c>
      <c r="CN10" s="3">
        <v>15</v>
      </c>
      <c r="CO10" s="3">
        <v>162</v>
      </c>
    </row>
    <row r="11" spans="1:93" ht="15" customHeight="1" x14ac:dyDescent="0.25">
      <c r="A11" s="5" t="s">
        <v>105</v>
      </c>
      <c r="B11" s="6" t="s">
        <v>131</v>
      </c>
      <c r="C11" s="7" t="s">
        <v>148</v>
      </c>
      <c r="D11" s="8" t="s">
        <v>150</v>
      </c>
      <c r="E11" s="3"/>
      <c r="F11" s="3"/>
      <c r="G11" s="3"/>
      <c r="H11" s="3"/>
      <c r="I11" s="3"/>
      <c r="J11" s="3"/>
      <c r="K11" s="9">
        <v>26668</v>
      </c>
      <c r="L11" s="3"/>
      <c r="M11" s="3"/>
      <c r="N11" s="3" t="s">
        <v>93</v>
      </c>
      <c r="O11" s="3" t="s">
        <v>94</v>
      </c>
      <c r="P11" s="4"/>
      <c r="Q11" s="3"/>
      <c r="R11" s="3"/>
      <c r="S11" s="3"/>
      <c r="T11" s="3">
        <v>0</v>
      </c>
      <c r="U11" s="3">
        <v>6000</v>
      </c>
      <c r="V11" s="3">
        <v>0</v>
      </c>
      <c r="W11" s="3">
        <v>6000</v>
      </c>
      <c r="X11" s="3">
        <v>5500</v>
      </c>
      <c r="Y11" s="3">
        <v>2032</v>
      </c>
      <c r="Z11" s="3">
        <v>7532</v>
      </c>
      <c r="AA11" s="3">
        <v>1000</v>
      </c>
      <c r="AB11" s="3">
        <v>0</v>
      </c>
      <c r="AC11" s="3">
        <v>1000</v>
      </c>
      <c r="AD11" s="3">
        <v>1600</v>
      </c>
      <c r="AE11" s="3">
        <v>0</v>
      </c>
      <c r="AF11" s="3">
        <v>1600</v>
      </c>
      <c r="AG11" s="3">
        <v>4473</v>
      </c>
      <c r="AH11" s="3">
        <v>0</v>
      </c>
      <c r="AI11" s="3">
        <v>4473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f t="shared" si="7"/>
        <v>18573</v>
      </c>
      <c r="AQ11" s="3">
        <f t="shared" si="8"/>
        <v>2032</v>
      </c>
      <c r="AR11" s="3">
        <f t="shared" si="9"/>
        <v>20605</v>
      </c>
      <c r="AS11" s="3">
        <v>1699</v>
      </c>
      <c r="AT11" s="3">
        <v>0</v>
      </c>
      <c r="AU11" s="3">
        <v>1699</v>
      </c>
      <c r="AV11" s="3">
        <v>519</v>
      </c>
      <c r="AW11" s="3">
        <v>66</v>
      </c>
      <c r="AX11" s="3">
        <v>585</v>
      </c>
      <c r="AY11" s="3">
        <v>289</v>
      </c>
      <c r="AZ11" s="3">
        <v>0</v>
      </c>
      <c r="BA11" s="3">
        <v>289</v>
      </c>
      <c r="BB11" s="3">
        <v>500</v>
      </c>
      <c r="BC11" s="3"/>
      <c r="BD11" s="3">
        <v>500</v>
      </c>
      <c r="BE11" s="8">
        <v>0</v>
      </c>
      <c r="BF11" s="8">
        <f t="shared" si="0"/>
        <v>0</v>
      </c>
      <c r="BG11" s="8">
        <v>0</v>
      </c>
      <c r="BH11" s="3">
        <f t="shared" si="1"/>
        <v>3007</v>
      </c>
      <c r="BI11" s="3">
        <f t="shared" si="2"/>
        <v>66</v>
      </c>
      <c r="BJ11" s="3">
        <f t="shared" si="3"/>
        <v>3073</v>
      </c>
      <c r="BK11" s="3">
        <v>2300</v>
      </c>
      <c r="BL11" s="3">
        <v>0</v>
      </c>
      <c r="BM11" s="3">
        <v>2300</v>
      </c>
      <c r="BN11" s="3">
        <v>690</v>
      </c>
      <c r="BO11" s="3">
        <v>0</v>
      </c>
      <c r="BP11" s="3">
        <v>690</v>
      </c>
      <c r="BQ11" s="3">
        <v>0</v>
      </c>
      <c r="BR11" s="3">
        <v>0</v>
      </c>
      <c r="BS11" s="3">
        <v>0</v>
      </c>
      <c r="BT11" s="3">
        <f t="shared" si="10"/>
        <v>2990</v>
      </c>
      <c r="BU11" s="3">
        <f t="shared" si="11"/>
        <v>0</v>
      </c>
      <c r="BV11" s="3">
        <f t="shared" si="12"/>
        <v>2990</v>
      </c>
      <c r="BW11" s="3">
        <f t="shared" si="4"/>
        <v>24570</v>
      </c>
      <c r="BX11" s="3">
        <f t="shared" si="5"/>
        <v>2098</v>
      </c>
      <c r="BY11" s="3">
        <f t="shared" si="6"/>
        <v>26668</v>
      </c>
      <c r="BZ11" s="3">
        <f t="shared" si="13"/>
        <v>294840</v>
      </c>
      <c r="CA11" s="3">
        <f t="shared" si="13"/>
        <v>25176</v>
      </c>
      <c r="CB11" s="3">
        <f t="shared" si="13"/>
        <v>320016</v>
      </c>
      <c r="CC11" s="3">
        <f t="shared" si="14"/>
        <v>25176</v>
      </c>
      <c r="CD11" s="3">
        <v>16684</v>
      </c>
      <c r="CE11" s="3">
        <v>2017</v>
      </c>
      <c r="CF11" s="3">
        <v>18701</v>
      </c>
      <c r="CG11" s="3">
        <v>1569</v>
      </c>
      <c r="CH11" s="3">
        <v>0</v>
      </c>
      <c r="CI11" s="3">
        <v>1569</v>
      </c>
      <c r="CJ11" s="3">
        <v>200</v>
      </c>
      <c r="CK11" s="3">
        <v>0</v>
      </c>
      <c r="CL11" s="3">
        <v>200</v>
      </c>
      <c r="CM11" s="3">
        <v>120</v>
      </c>
      <c r="CN11" s="3">
        <v>15</v>
      </c>
      <c r="CO11" s="3">
        <v>135</v>
      </c>
    </row>
    <row r="12" spans="1:93" ht="15" customHeight="1" x14ac:dyDescent="0.25">
      <c r="A12" s="5" t="s">
        <v>106</v>
      </c>
      <c r="B12" s="6" t="s">
        <v>132</v>
      </c>
      <c r="C12" s="7" t="s">
        <v>148</v>
      </c>
      <c r="D12" s="8" t="s">
        <v>150</v>
      </c>
      <c r="E12" s="3"/>
      <c r="F12" s="3"/>
      <c r="G12" s="3"/>
      <c r="H12" s="3"/>
      <c r="I12" s="3"/>
      <c r="J12" s="3"/>
      <c r="K12" s="9">
        <v>27225</v>
      </c>
      <c r="L12" s="3"/>
      <c r="M12" s="3"/>
      <c r="N12" s="3" t="s">
        <v>93</v>
      </c>
      <c r="O12" s="3" t="s">
        <v>94</v>
      </c>
      <c r="P12" s="4"/>
      <c r="Q12" s="3"/>
      <c r="R12" s="3"/>
      <c r="S12" s="3"/>
      <c r="T12" s="3">
        <v>0</v>
      </c>
      <c r="U12" s="3">
        <v>6000</v>
      </c>
      <c r="V12" s="3">
        <v>0</v>
      </c>
      <c r="W12" s="3">
        <v>6000</v>
      </c>
      <c r="X12" s="3">
        <v>5500</v>
      </c>
      <c r="Y12" s="3">
        <v>871</v>
      </c>
      <c r="Z12" s="3">
        <v>6371</v>
      </c>
      <c r="AA12" s="3">
        <v>1000</v>
      </c>
      <c r="AB12" s="3">
        <v>0</v>
      </c>
      <c r="AC12" s="3">
        <v>1000</v>
      </c>
      <c r="AD12" s="3">
        <v>1600</v>
      </c>
      <c r="AE12" s="3">
        <v>0</v>
      </c>
      <c r="AF12" s="3">
        <v>1600</v>
      </c>
      <c r="AG12" s="3">
        <v>5983</v>
      </c>
      <c r="AH12" s="3">
        <v>0</v>
      </c>
      <c r="AI12" s="3">
        <v>5983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f t="shared" si="7"/>
        <v>20083</v>
      </c>
      <c r="AQ12" s="3">
        <f t="shared" si="8"/>
        <v>871</v>
      </c>
      <c r="AR12" s="3">
        <f t="shared" si="9"/>
        <v>20954</v>
      </c>
      <c r="AS12" s="3">
        <v>1896</v>
      </c>
      <c r="AT12" s="3">
        <v>0</v>
      </c>
      <c r="AU12" s="3">
        <v>1896</v>
      </c>
      <c r="AV12" s="3">
        <v>568</v>
      </c>
      <c r="AW12" s="3">
        <v>28</v>
      </c>
      <c r="AX12" s="3">
        <v>597</v>
      </c>
      <c r="AY12" s="3">
        <v>289</v>
      </c>
      <c r="AZ12" s="3">
        <v>0</v>
      </c>
      <c r="BA12" s="3">
        <v>289</v>
      </c>
      <c r="BB12" s="3">
        <v>500</v>
      </c>
      <c r="BC12" s="3"/>
      <c r="BD12" s="3">
        <v>500</v>
      </c>
      <c r="BE12" s="8">
        <v>0</v>
      </c>
      <c r="BF12" s="8">
        <f t="shared" si="0"/>
        <v>0</v>
      </c>
      <c r="BG12" s="8">
        <v>0</v>
      </c>
      <c r="BH12" s="3">
        <f t="shared" si="1"/>
        <v>3253</v>
      </c>
      <c r="BI12" s="3">
        <f t="shared" si="2"/>
        <v>28</v>
      </c>
      <c r="BJ12" s="3">
        <f t="shared" si="3"/>
        <v>3282</v>
      </c>
      <c r="BK12" s="3">
        <v>2300</v>
      </c>
      <c r="BL12" s="3">
        <v>0</v>
      </c>
      <c r="BM12" s="3">
        <v>2300</v>
      </c>
      <c r="BN12" s="3">
        <v>690</v>
      </c>
      <c r="BO12" s="3">
        <v>0</v>
      </c>
      <c r="BP12" s="3">
        <v>690</v>
      </c>
      <c r="BQ12" s="3">
        <v>0</v>
      </c>
      <c r="BR12" s="3">
        <v>0</v>
      </c>
      <c r="BS12" s="3">
        <v>0</v>
      </c>
      <c r="BT12" s="3">
        <f t="shared" si="10"/>
        <v>2990</v>
      </c>
      <c r="BU12" s="3">
        <f t="shared" si="11"/>
        <v>0</v>
      </c>
      <c r="BV12" s="3">
        <f t="shared" si="12"/>
        <v>2990</v>
      </c>
      <c r="BW12" s="3">
        <f t="shared" si="4"/>
        <v>26326</v>
      </c>
      <c r="BX12" s="3">
        <f t="shared" si="5"/>
        <v>899</v>
      </c>
      <c r="BY12" s="3">
        <f t="shared" si="6"/>
        <v>27226</v>
      </c>
      <c r="BZ12" s="3">
        <f t="shared" si="13"/>
        <v>315912</v>
      </c>
      <c r="CA12" s="3">
        <f t="shared" si="13"/>
        <v>10788</v>
      </c>
      <c r="CB12" s="3">
        <f t="shared" si="13"/>
        <v>326712</v>
      </c>
      <c r="CC12" s="3">
        <f t="shared" si="14"/>
        <v>10788</v>
      </c>
      <c r="CD12" s="3">
        <v>18002</v>
      </c>
      <c r="CE12" s="3">
        <v>864</v>
      </c>
      <c r="CF12" s="3">
        <v>18866</v>
      </c>
      <c r="CG12" s="3">
        <v>1750</v>
      </c>
      <c r="CH12" s="3">
        <v>0</v>
      </c>
      <c r="CI12" s="3">
        <v>1750</v>
      </c>
      <c r="CJ12" s="3">
        <v>200</v>
      </c>
      <c r="CK12" s="3">
        <v>0</v>
      </c>
      <c r="CL12" s="3">
        <v>200</v>
      </c>
      <c r="CM12" s="3">
        <v>131</v>
      </c>
      <c r="CN12" s="3">
        <v>7</v>
      </c>
      <c r="CO12" s="3">
        <v>138</v>
      </c>
    </row>
    <row r="13" spans="1:93" ht="15" customHeight="1" x14ac:dyDescent="0.25">
      <c r="A13" s="5" t="s">
        <v>107</v>
      </c>
      <c r="B13" s="6" t="s">
        <v>133</v>
      </c>
      <c r="C13" s="7" t="s">
        <v>148</v>
      </c>
      <c r="D13" s="8" t="s">
        <v>150</v>
      </c>
      <c r="E13" s="3"/>
      <c r="F13" s="3"/>
      <c r="G13" s="3"/>
      <c r="H13" s="3"/>
      <c r="I13" s="3"/>
      <c r="J13" s="3"/>
      <c r="K13" s="9">
        <v>27239</v>
      </c>
      <c r="L13" s="3"/>
      <c r="M13" s="3"/>
      <c r="N13" s="3" t="s">
        <v>93</v>
      </c>
      <c r="O13" s="3" t="s">
        <v>94</v>
      </c>
      <c r="P13" s="4"/>
      <c r="Q13" s="3"/>
      <c r="R13" s="3"/>
      <c r="S13" s="3"/>
      <c r="T13" s="3">
        <v>0</v>
      </c>
      <c r="U13" s="3">
        <v>6500</v>
      </c>
      <c r="V13" s="3">
        <v>0</v>
      </c>
      <c r="W13" s="3">
        <v>6500</v>
      </c>
      <c r="X13" s="3">
        <v>6000</v>
      </c>
      <c r="Y13" s="3">
        <v>871</v>
      </c>
      <c r="Z13" s="3">
        <v>6871</v>
      </c>
      <c r="AA13" s="3">
        <v>1000</v>
      </c>
      <c r="AB13" s="3">
        <v>0</v>
      </c>
      <c r="AC13" s="3">
        <v>1000</v>
      </c>
      <c r="AD13" s="3">
        <v>1600</v>
      </c>
      <c r="AE13" s="3">
        <v>0</v>
      </c>
      <c r="AF13" s="3">
        <v>1600</v>
      </c>
      <c r="AG13" s="3">
        <v>4995</v>
      </c>
      <c r="AH13" s="3">
        <v>0</v>
      </c>
      <c r="AI13" s="3">
        <v>4995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f t="shared" si="7"/>
        <v>20095</v>
      </c>
      <c r="AQ13" s="3">
        <f t="shared" si="8"/>
        <v>871</v>
      </c>
      <c r="AR13" s="3">
        <f t="shared" si="9"/>
        <v>20966</v>
      </c>
      <c r="AS13" s="3">
        <v>1832</v>
      </c>
      <c r="AT13" s="3">
        <v>0</v>
      </c>
      <c r="AU13" s="3">
        <v>1832</v>
      </c>
      <c r="AV13" s="3">
        <v>569</v>
      </c>
      <c r="AW13" s="3">
        <v>28</v>
      </c>
      <c r="AX13" s="3">
        <v>597</v>
      </c>
      <c r="AY13" s="3">
        <v>313</v>
      </c>
      <c r="AZ13" s="3">
        <v>0</v>
      </c>
      <c r="BA13" s="3">
        <v>313</v>
      </c>
      <c r="BB13" s="3">
        <v>541</v>
      </c>
      <c r="BC13" s="3"/>
      <c r="BD13" s="3">
        <v>541</v>
      </c>
      <c r="BE13" s="8">
        <v>0</v>
      </c>
      <c r="BF13" s="8">
        <f t="shared" si="0"/>
        <v>0</v>
      </c>
      <c r="BG13" s="8">
        <v>0</v>
      </c>
      <c r="BH13" s="3">
        <f t="shared" si="1"/>
        <v>3255</v>
      </c>
      <c r="BI13" s="3">
        <f t="shared" si="2"/>
        <v>28</v>
      </c>
      <c r="BJ13" s="3">
        <f t="shared" si="3"/>
        <v>3283</v>
      </c>
      <c r="BK13" s="3">
        <v>2300</v>
      </c>
      <c r="BL13" s="3">
        <v>0</v>
      </c>
      <c r="BM13" s="3">
        <v>2300</v>
      </c>
      <c r="BN13" s="3">
        <v>690</v>
      </c>
      <c r="BO13" s="3">
        <v>0</v>
      </c>
      <c r="BP13" s="3">
        <v>690</v>
      </c>
      <c r="BQ13" s="3">
        <v>0</v>
      </c>
      <c r="BR13" s="3">
        <v>0</v>
      </c>
      <c r="BS13" s="3">
        <v>0</v>
      </c>
      <c r="BT13" s="3">
        <f t="shared" si="10"/>
        <v>2990</v>
      </c>
      <c r="BU13" s="3">
        <f t="shared" si="11"/>
        <v>0</v>
      </c>
      <c r="BV13" s="3">
        <f t="shared" si="12"/>
        <v>2990</v>
      </c>
      <c r="BW13" s="3">
        <f t="shared" si="4"/>
        <v>26340</v>
      </c>
      <c r="BX13" s="3">
        <f t="shared" si="5"/>
        <v>899</v>
      </c>
      <c r="BY13" s="3">
        <f t="shared" si="6"/>
        <v>27239</v>
      </c>
      <c r="BZ13" s="3">
        <f t="shared" si="13"/>
        <v>316080</v>
      </c>
      <c r="CA13" s="3">
        <f t="shared" si="13"/>
        <v>10788</v>
      </c>
      <c r="CB13" s="3">
        <f t="shared" si="13"/>
        <v>326868</v>
      </c>
      <c r="CC13" s="3">
        <f t="shared" si="14"/>
        <v>10788</v>
      </c>
      <c r="CD13" s="3">
        <v>18072</v>
      </c>
      <c r="CE13" s="3">
        <v>864</v>
      </c>
      <c r="CF13" s="3">
        <v>18936</v>
      </c>
      <c r="CG13" s="3">
        <v>1691</v>
      </c>
      <c r="CH13" s="3">
        <v>0</v>
      </c>
      <c r="CI13" s="3">
        <v>1691</v>
      </c>
      <c r="CJ13" s="3">
        <v>200</v>
      </c>
      <c r="CK13" s="3">
        <v>0</v>
      </c>
      <c r="CL13" s="3">
        <v>200</v>
      </c>
      <c r="CM13" s="3">
        <v>131</v>
      </c>
      <c r="CN13" s="3">
        <v>7</v>
      </c>
      <c r="CO13" s="3">
        <v>138</v>
      </c>
    </row>
    <row r="14" spans="1:93" ht="15" customHeight="1" x14ac:dyDescent="0.25">
      <c r="A14" s="5" t="s">
        <v>108</v>
      </c>
      <c r="B14" s="6" t="s">
        <v>134</v>
      </c>
      <c r="C14" s="7" t="s">
        <v>148</v>
      </c>
      <c r="D14" s="8" t="s">
        <v>150</v>
      </c>
      <c r="E14" s="3"/>
      <c r="F14" s="3"/>
      <c r="G14" s="3"/>
      <c r="H14" s="3"/>
      <c r="I14" s="3"/>
      <c r="J14" s="3"/>
      <c r="K14" s="9">
        <v>29502</v>
      </c>
      <c r="L14" s="3"/>
      <c r="M14" s="3"/>
      <c r="N14" s="3" t="s">
        <v>93</v>
      </c>
      <c r="O14" s="3" t="s">
        <v>94</v>
      </c>
      <c r="P14" s="4"/>
      <c r="Q14" s="3"/>
      <c r="R14" s="3"/>
      <c r="S14" s="3"/>
      <c r="T14" s="3">
        <v>0</v>
      </c>
      <c r="U14" s="3">
        <v>6500</v>
      </c>
      <c r="V14" s="3">
        <v>0</v>
      </c>
      <c r="W14" s="3">
        <v>6500</v>
      </c>
      <c r="X14" s="3">
        <v>6000</v>
      </c>
      <c r="Y14" s="3">
        <v>2032</v>
      </c>
      <c r="Z14" s="3">
        <v>8032</v>
      </c>
      <c r="AA14" s="3">
        <v>1000</v>
      </c>
      <c r="AB14" s="3">
        <v>0</v>
      </c>
      <c r="AC14" s="3">
        <v>1000</v>
      </c>
      <c r="AD14" s="3">
        <v>1600</v>
      </c>
      <c r="AE14" s="3">
        <v>0</v>
      </c>
      <c r="AF14" s="3">
        <v>1600</v>
      </c>
      <c r="AG14" s="3">
        <v>6576</v>
      </c>
      <c r="AH14" s="3">
        <v>0</v>
      </c>
      <c r="AI14" s="3">
        <v>6576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f t="shared" si="7"/>
        <v>21676</v>
      </c>
      <c r="AQ14" s="3">
        <f t="shared" si="8"/>
        <v>2032</v>
      </c>
      <c r="AR14" s="3">
        <f t="shared" si="9"/>
        <v>23708</v>
      </c>
      <c r="AS14" s="3">
        <v>1950</v>
      </c>
      <c r="AT14" s="3">
        <v>0</v>
      </c>
      <c r="AU14" s="3">
        <v>1950</v>
      </c>
      <c r="AV14" s="3">
        <v>620</v>
      </c>
      <c r="AW14" s="3">
        <v>66</v>
      </c>
      <c r="AX14" s="3">
        <v>686</v>
      </c>
      <c r="AY14" s="3">
        <v>313</v>
      </c>
      <c r="AZ14" s="3">
        <v>0</v>
      </c>
      <c r="BA14" s="3">
        <v>313</v>
      </c>
      <c r="BB14" s="3">
        <v>541</v>
      </c>
      <c r="BC14" s="3"/>
      <c r="BD14" s="3">
        <v>541</v>
      </c>
      <c r="BE14" s="8">
        <v>0</v>
      </c>
      <c r="BF14" s="8">
        <f t="shared" si="0"/>
        <v>0</v>
      </c>
      <c r="BG14" s="8">
        <v>0</v>
      </c>
      <c r="BH14" s="3">
        <f t="shared" si="1"/>
        <v>3424</v>
      </c>
      <c r="BI14" s="3">
        <f t="shared" si="2"/>
        <v>66</v>
      </c>
      <c r="BJ14" s="3">
        <f t="shared" si="3"/>
        <v>3490</v>
      </c>
      <c r="BK14" s="3">
        <v>2300</v>
      </c>
      <c r="BL14" s="3">
        <v>0</v>
      </c>
      <c r="BM14" s="3">
        <v>2300</v>
      </c>
      <c r="BN14" s="3">
        <v>690</v>
      </c>
      <c r="BO14" s="3">
        <v>0</v>
      </c>
      <c r="BP14" s="3">
        <v>690</v>
      </c>
      <c r="BQ14" s="3">
        <v>0</v>
      </c>
      <c r="BR14" s="3">
        <v>0</v>
      </c>
      <c r="BS14" s="3">
        <v>0</v>
      </c>
      <c r="BT14" s="3">
        <f t="shared" si="10"/>
        <v>2990</v>
      </c>
      <c r="BU14" s="3">
        <f t="shared" si="11"/>
        <v>0</v>
      </c>
      <c r="BV14" s="3">
        <f t="shared" si="12"/>
        <v>2990</v>
      </c>
      <c r="BW14" s="3">
        <f t="shared" si="4"/>
        <v>28090</v>
      </c>
      <c r="BX14" s="3">
        <f t="shared" si="5"/>
        <v>2098</v>
      </c>
      <c r="BY14" s="3">
        <f t="shared" si="6"/>
        <v>30188</v>
      </c>
      <c r="BZ14" s="3">
        <f t="shared" si="13"/>
        <v>337080</v>
      </c>
      <c r="CA14" s="3">
        <f t="shared" si="13"/>
        <v>25176</v>
      </c>
      <c r="CB14" s="3">
        <f t="shared" si="13"/>
        <v>362256</v>
      </c>
      <c r="CC14" s="3">
        <f t="shared" si="14"/>
        <v>25176</v>
      </c>
      <c r="CD14" s="3">
        <v>19533</v>
      </c>
      <c r="CE14" s="3">
        <v>2017</v>
      </c>
      <c r="CF14" s="3">
        <v>21550</v>
      </c>
      <c r="CG14" s="3">
        <v>1800</v>
      </c>
      <c r="CH14" s="3">
        <v>0</v>
      </c>
      <c r="CI14" s="3">
        <v>1800</v>
      </c>
      <c r="CJ14" s="3">
        <v>200</v>
      </c>
      <c r="CK14" s="3">
        <v>0</v>
      </c>
      <c r="CL14" s="3">
        <v>200</v>
      </c>
      <c r="CM14" s="3">
        <v>143</v>
      </c>
      <c r="CN14" s="3">
        <v>15</v>
      </c>
      <c r="CO14" s="3">
        <v>158</v>
      </c>
    </row>
    <row r="15" spans="1:93" ht="15" customHeight="1" x14ac:dyDescent="0.25">
      <c r="A15" s="5" t="s">
        <v>109</v>
      </c>
      <c r="B15" s="6" t="s">
        <v>135</v>
      </c>
      <c r="C15" s="7" t="s">
        <v>148</v>
      </c>
      <c r="D15" s="8" t="s">
        <v>150</v>
      </c>
      <c r="E15" s="3"/>
      <c r="F15" s="3"/>
      <c r="G15" s="3"/>
      <c r="H15" s="3"/>
      <c r="I15" s="3"/>
      <c r="J15" s="3"/>
      <c r="K15" s="9">
        <v>28888</v>
      </c>
      <c r="L15" s="3"/>
      <c r="M15" s="3"/>
      <c r="N15" s="3" t="s">
        <v>93</v>
      </c>
      <c r="O15" s="3" t="s">
        <v>94</v>
      </c>
      <c r="P15" s="4"/>
      <c r="Q15" s="3"/>
      <c r="R15" s="3"/>
      <c r="S15" s="3"/>
      <c r="T15" s="3">
        <v>0</v>
      </c>
      <c r="U15" s="3">
        <v>6500</v>
      </c>
      <c r="V15" s="3">
        <v>0</v>
      </c>
      <c r="W15" s="3">
        <v>6500</v>
      </c>
      <c r="X15" s="3">
        <v>6000</v>
      </c>
      <c r="Y15" s="3">
        <v>2032</v>
      </c>
      <c r="Z15" s="3">
        <v>8032</v>
      </c>
      <c r="AA15" s="3">
        <v>1000</v>
      </c>
      <c r="AB15" s="3">
        <v>0</v>
      </c>
      <c r="AC15" s="3">
        <v>1000</v>
      </c>
      <c r="AD15" s="3">
        <v>1600</v>
      </c>
      <c r="AE15" s="3">
        <v>0</v>
      </c>
      <c r="AF15" s="3">
        <v>1600</v>
      </c>
      <c r="AG15" s="3">
        <v>5382</v>
      </c>
      <c r="AH15" s="3">
        <v>0</v>
      </c>
      <c r="AI15" s="3">
        <v>5382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f t="shared" si="7"/>
        <v>20482</v>
      </c>
      <c r="AQ15" s="3">
        <f t="shared" si="8"/>
        <v>2032</v>
      </c>
      <c r="AR15" s="3">
        <f t="shared" si="9"/>
        <v>22514</v>
      </c>
      <c r="AS15" s="3">
        <v>1883</v>
      </c>
      <c r="AT15" s="3">
        <v>0</v>
      </c>
      <c r="AU15" s="3">
        <v>1883</v>
      </c>
      <c r="AV15" s="3">
        <v>581</v>
      </c>
      <c r="AW15" s="3">
        <v>66</v>
      </c>
      <c r="AX15" s="3">
        <v>647</v>
      </c>
      <c r="AY15" s="3">
        <v>313</v>
      </c>
      <c r="AZ15" s="3">
        <v>0</v>
      </c>
      <c r="BA15" s="3">
        <v>313</v>
      </c>
      <c r="BB15" s="3">
        <v>541</v>
      </c>
      <c r="BC15" s="3"/>
      <c r="BD15" s="3">
        <v>541</v>
      </c>
      <c r="BE15" s="8">
        <v>0</v>
      </c>
      <c r="BF15" s="8">
        <f t="shared" si="0"/>
        <v>0</v>
      </c>
      <c r="BG15" s="8">
        <v>0</v>
      </c>
      <c r="BH15" s="3">
        <f t="shared" si="1"/>
        <v>3318</v>
      </c>
      <c r="BI15" s="3">
        <f t="shared" si="2"/>
        <v>66</v>
      </c>
      <c r="BJ15" s="3">
        <f t="shared" si="3"/>
        <v>3384</v>
      </c>
      <c r="BK15" s="3">
        <v>2300</v>
      </c>
      <c r="BL15" s="3">
        <v>0</v>
      </c>
      <c r="BM15" s="3">
        <v>2300</v>
      </c>
      <c r="BN15" s="3">
        <v>690</v>
      </c>
      <c r="BO15" s="3">
        <v>0</v>
      </c>
      <c r="BP15" s="3">
        <v>690</v>
      </c>
      <c r="BQ15" s="3">
        <v>0</v>
      </c>
      <c r="BR15" s="3">
        <v>0</v>
      </c>
      <c r="BS15" s="3">
        <v>0</v>
      </c>
      <c r="BT15" s="3">
        <f t="shared" si="10"/>
        <v>2990</v>
      </c>
      <c r="BU15" s="3">
        <f t="shared" si="11"/>
        <v>0</v>
      </c>
      <c r="BV15" s="3">
        <f t="shared" si="12"/>
        <v>2990</v>
      </c>
      <c r="BW15" s="3">
        <f t="shared" si="4"/>
        <v>26790</v>
      </c>
      <c r="BX15" s="3">
        <f t="shared" si="5"/>
        <v>2098</v>
      </c>
      <c r="BY15" s="3">
        <f t="shared" si="6"/>
        <v>28888</v>
      </c>
      <c r="BZ15" s="3">
        <f t="shared" si="13"/>
        <v>321480</v>
      </c>
      <c r="CA15" s="3">
        <f t="shared" si="13"/>
        <v>25176</v>
      </c>
      <c r="CB15" s="3">
        <f t="shared" si="13"/>
        <v>346656</v>
      </c>
      <c r="CC15" s="3">
        <f t="shared" si="14"/>
        <v>25176</v>
      </c>
      <c r="CD15" s="3">
        <v>18410</v>
      </c>
      <c r="CE15" s="3">
        <v>2017</v>
      </c>
      <c r="CF15" s="3">
        <v>20427</v>
      </c>
      <c r="CG15" s="3">
        <v>1738</v>
      </c>
      <c r="CH15" s="3">
        <v>0</v>
      </c>
      <c r="CI15" s="3">
        <v>1738</v>
      </c>
      <c r="CJ15" s="3">
        <v>200</v>
      </c>
      <c r="CK15" s="3">
        <v>0</v>
      </c>
      <c r="CL15" s="3">
        <v>200</v>
      </c>
      <c r="CM15" s="3">
        <v>134</v>
      </c>
      <c r="CN15" s="3">
        <v>15</v>
      </c>
      <c r="CO15" s="3">
        <v>149</v>
      </c>
    </row>
    <row r="16" spans="1:93" ht="15" customHeight="1" x14ac:dyDescent="0.25">
      <c r="A16" s="5" t="s">
        <v>110</v>
      </c>
      <c r="B16" s="6" t="s">
        <v>136</v>
      </c>
      <c r="C16" s="7" t="s">
        <v>148</v>
      </c>
      <c r="D16" s="8" t="s">
        <v>150</v>
      </c>
      <c r="E16" s="3"/>
      <c r="F16" s="3"/>
      <c r="G16" s="3"/>
      <c r="H16" s="3"/>
      <c r="I16" s="3"/>
      <c r="J16" s="3"/>
      <c r="K16" s="9">
        <v>26489</v>
      </c>
      <c r="L16" s="3"/>
      <c r="M16" s="3"/>
      <c r="N16" s="3" t="s">
        <v>93</v>
      </c>
      <c r="O16" s="3" t="s">
        <v>94</v>
      </c>
      <c r="P16" s="4"/>
      <c r="Q16" s="3"/>
      <c r="R16" s="3"/>
      <c r="S16" s="3"/>
      <c r="T16" s="3">
        <v>0</v>
      </c>
      <c r="U16" s="3">
        <v>6500</v>
      </c>
      <c r="V16" s="3">
        <v>0</v>
      </c>
      <c r="W16" s="3">
        <v>6500</v>
      </c>
      <c r="X16" s="3">
        <v>6000</v>
      </c>
      <c r="Y16" s="3">
        <v>1451</v>
      </c>
      <c r="Z16" s="3">
        <v>7451</v>
      </c>
      <c r="AA16" s="3">
        <v>1000</v>
      </c>
      <c r="AB16" s="3">
        <v>0</v>
      </c>
      <c r="AC16" s="3">
        <v>1000</v>
      </c>
      <c r="AD16" s="3">
        <v>1600</v>
      </c>
      <c r="AE16" s="3">
        <v>0</v>
      </c>
      <c r="AF16" s="3">
        <v>1600</v>
      </c>
      <c r="AG16" s="3">
        <v>3834</v>
      </c>
      <c r="AH16" s="3">
        <v>0</v>
      </c>
      <c r="AI16" s="3">
        <v>3834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f t="shared" si="7"/>
        <v>18934</v>
      </c>
      <c r="AQ16" s="3">
        <f t="shared" si="8"/>
        <v>1451</v>
      </c>
      <c r="AR16" s="3">
        <f t="shared" si="9"/>
        <v>20385</v>
      </c>
      <c r="AS16" s="3">
        <v>1681</v>
      </c>
      <c r="AT16" s="3">
        <v>0</v>
      </c>
      <c r="AU16" s="3">
        <v>1681</v>
      </c>
      <c r="AV16" s="3">
        <v>531</v>
      </c>
      <c r="AW16" s="3">
        <v>47</v>
      </c>
      <c r="AX16" s="3">
        <v>578</v>
      </c>
      <c r="AY16" s="3">
        <v>313</v>
      </c>
      <c r="AZ16" s="3">
        <v>0</v>
      </c>
      <c r="BA16" s="3">
        <v>313</v>
      </c>
      <c r="BB16" s="3">
        <v>541</v>
      </c>
      <c r="BC16" s="3"/>
      <c r="BD16" s="3">
        <v>541</v>
      </c>
      <c r="BE16" s="8">
        <v>0</v>
      </c>
      <c r="BF16" s="8">
        <f t="shared" si="0"/>
        <v>0</v>
      </c>
      <c r="BG16" s="8">
        <v>0</v>
      </c>
      <c r="BH16" s="3">
        <f t="shared" si="1"/>
        <v>3066</v>
      </c>
      <c r="BI16" s="3">
        <f t="shared" si="2"/>
        <v>47</v>
      </c>
      <c r="BJ16" s="3">
        <f t="shared" si="3"/>
        <v>3113</v>
      </c>
      <c r="BK16" s="3">
        <v>2300</v>
      </c>
      <c r="BL16" s="3">
        <v>0</v>
      </c>
      <c r="BM16" s="3">
        <v>2300</v>
      </c>
      <c r="BN16" s="3">
        <v>690</v>
      </c>
      <c r="BO16" s="3">
        <v>0</v>
      </c>
      <c r="BP16" s="3">
        <v>690</v>
      </c>
      <c r="BQ16" s="3">
        <v>0</v>
      </c>
      <c r="BR16" s="3">
        <v>0</v>
      </c>
      <c r="BS16" s="3">
        <v>0</v>
      </c>
      <c r="BT16" s="3">
        <f t="shared" si="10"/>
        <v>2990</v>
      </c>
      <c r="BU16" s="3">
        <f t="shared" si="11"/>
        <v>0</v>
      </c>
      <c r="BV16" s="3">
        <f t="shared" si="12"/>
        <v>2990</v>
      </c>
      <c r="BW16" s="3">
        <f t="shared" si="4"/>
        <v>24990</v>
      </c>
      <c r="BX16" s="3">
        <f t="shared" si="5"/>
        <v>1498</v>
      </c>
      <c r="BY16" s="3">
        <f t="shared" si="6"/>
        <v>26488</v>
      </c>
      <c r="BZ16" s="3">
        <f t="shared" si="13"/>
        <v>299880</v>
      </c>
      <c r="CA16" s="3">
        <f t="shared" si="13"/>
        <v>17976</v>
      </c>
      <c r="CB16" s="3">
        <f t="shared" si="13"/>
        <v>317856</v>
      </c>
      <c r="CC16" s="3">
        <f t="shared" si="14"/>
        <v>17976</v>
      </c>
      <c r="CD16" s="3">
        <v>17059</v>
      </c>
      <c r="CE16" s="3">
        <v>1440</v>
      </c>
      <c r="CF16" s="3">
        <v>18499</v>
      </c>
      <c r="CG16" s="3">
        <v>1552</v>
      </c>
      <c r="CH16" s="3">
        <v>0</v>
      </c>
      <c r="CI16" s="3">
        <v>1552</v>
      </c>
      <c r="CJ16" s="3">
        <v>200</v>
      </c>
      <c r="CK16" s="3">
        <v>0</v>
      </c>
      <c r="CL16" s="3">
        <v>200</v>
      </c>
      <c r="CM16" s="3">
        <v>123</v>
      </c>
      <c r="CN16" s="3">
        <v>11</v>
      </c>
      <c r="CO16" s="3">
        <v>134</v>
      </c>
    </row>
    <row r="17" spans="1:93" ht="15" customHeight="1" x14ac:dyDescent="0.25">
      <c r="A17" s="5" t="s">
        <v>111</v>
      </c>
      <c r="B17" s="6" t="s">
        <v>137</v>
      </c>
      <c r="C17" s="7" t="s">
        <v>148</v>
      </c>
      <c r="D17" s="8" t="s">
        <v>150</v>
      </c>
      <c r="E17" s="3"/>
      <c r="F17" s="3"/>
      <c r="G17" s="3"/>
      <c r="H17" s="3"/>
      <c r="I17" s="3"/>
      <c r="J17" s="3"/>
      <c r="K17" s="9">
        <v>25158</v>
      </c>
      <c r="L17" s="3"/>
      <c r="M17" s="3"/>
      <c r="N17" s="3" t="s">
        <v>93</v>
      </c>
      <c r="O17" s="3" t="s">
        <v>94</v>
      </c>
      <c r="P17" s="4"/>
      <c r="Q17" s="3"/>
      <c r="R17" s="3"/>
      <c r="S17" s="3"/>
      <c r="T17" s="3">
        <v>0</v>
      </c>
      <c r="U17" s="3">
        <v>6000</v>
      </c>
      <c r="V17" s="3">
        <v>0</v>
      </c>
      <c r="W17" s="3">
        <v>6000</v>
      </c>
      <c r="X17" s="3">
        <v>5500</v>
      </c>
      <c r="Y17" s="3">
        <v>1451</v>
      </c>
      <c r="Z17" s="3">
        <v>6951</v>
      </c>
      <c r="AA17" s="3">
        <v>1000</v>
      </c>
      <c r="AB17" s="3">
        <v>0</v>
      </c>
      <c r="AC17" s="3">
        <v>1000</v>
      </c>
      <c r="AD17" s="3">
        <v>1600</v>
      </c>
      <c r="AE17" s="3">
        <v>0</v>
      </c>
      <c r="AF17" s="3">
        <v>1600</v>
      </c>
      <c r="AG17" s="3">
        <v>3690</v>
      </c>
      <c r="AH17" s="3">
        <v>0</v>
      </c>
      <c r="AI17" s="3">
        <v>3690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f t="shared" si="7"/>
        <v>17790</v>
      </c>
      <c r="AQ17" s="3">
        <f t="shared" si="8"/>
        <v>1451</v>
      </c>
      <c r="AR17" s="3">
        <f t="shared" si="9"/>
        <v>19241</v>
      </c>
      <c r="AS17" s="3">
        <v>1598</v>
      </c>
      <c r="AT17" s="3">
        <v>0</v>
      </c>
      <c r="AU17" s="3">
        <v>1598</v>
      </c>
      <c r="AV17" s="3">
        <v>494</v>
      </c>
      <c r="AW17" s="3">
        <v>47</v>
      </c>
      <c r="AX17" s="3">
        <v>541</v>
      </c>
      <c r="AY17" s="3">
        <v>289</v>
      </c>
      <c r="AZ17" s="3">
        <v>0</v>
      </c>
      <c r="BA17" s="3">
        <v>289</v>
      </c>
      <c r="BB17" s="3">
        <v>500</v>
      </c>
      <c r="BC17" s="3"/>
      <c r="BD17" s="3">
        <v>500</v>
      </c>
      <c r="BE17" s="8">
        <v>0</v>
      </c>
      <c r="BF17" s="8">
        <f t="shared" si="0"/>
        <v>0</v>
      </c>
      <c r="BG17" s="8">
        <v>0</v>
      </c>
      <c r="BH17" s="3">
        <f t="shared" si="1"/>
        <v>2881</v>
      </c>
      <c r="BI17" s="3">
        <f t="shared" si="2"/>
        <v>47</v>
      </c>
      <c r="BJ17" s="3">
        <f t="shared" si="3"/>
        <v>2928</v>
      </c>
      <c r="BK17" s="3">
        <v>2300</v>
      </c>
      <c r="BL17" s="3">
        <v>0</v>
      </c>
      <c r="BM17" s="3">
        <v>2300</v>
      </c>
      <c r="BN17" s="3">
        <v>690</v>
      </c>
      <c r="BO17" s="3">
        <v>0</v>
      </c>
      <c r="BP17" s="3">
        <v>690</v>
      </c>
      <c r="BQ17" s="3">
        <v>0</v>
      </c>
      <c r="BR17" s="3">
        <v>0</v>
      </c>
      <c r="BS17" s="3">
        <v>0</v>
      </c>
      <c r="BT17" s="3">
        <f t="shared" si="10"/>
        <v>2990</v>
      </c>
      <c r="BU17" s="3">
        <f t="shared" si="11"/>
        <v>0</v>
      </c>
      <c r="BV17" s="3">
        <f t="shared" si="12"/>
        <v>2990</v>
      </c>
      <c r="BW17" s="3">
        <f t="shared" si="4"/>
        <v>23661</v>
      </c>
      <c r="BX17" s="3">
        <f t="shared" si="5"/>
        <v>1498</v>
      </c>
      <c r="BY17" s="3">
        <f t="shared" si="6"/>
        <v>25159</v>
      </c>
      <c r="BZ17" s="3">
        <f t="shared" si="13"/>
        <v>283932</v>
      </c>
      <c r="CA17" s="3">
        <f t="shared" si="13"/>
        <v>17976</v>
      </c>
      <c r="CB17" s="3">
        <f t="shared" si="13"/>
        <v>301908</v>
      </c>
      <c r="CC17" s="3">
        <f t="shared" si="14"/>
        <v>17976</v>
      </c>
      <c r="CD17" s="3">
        <v>16001</v>
      </c>
      <c r="CE17" s="3">
        <v>1440</v>
      </c>
      <c r="CF17" s="3">
        <v>17441</v>
      </c>
      <c r="CG17" s="3">
        <v>1475</v>
      </c>
      <c r="CH17" s="3">
        <v>0</v>
      </c>
      <c r="CI17" s="3">
        <v>1475</v>
      </c>
      <c r="CJ17" s="3">
        <v>200</v>
      </c>
      <c r="CK17" s="3">
        <v>0</v>
      </c>
      <c r="CL17" s="3">
        <v>200</v>
      </c>
      <c r="CM17" s="3">
        <v>114</v>
      </c>
      <c r="CN17" s="3">
        <v>11</v>
      </c>
      <c r="CO17" s="3">
        <v>125</v>
      </c>
    </row>
    <row r="18" spans="1:93" ht="15" customHeight="1" x14ac:dyDescent="0.25">
      <c r="A18" s="5" t="s">
        <v>112</v>
      </c>
      <c r="B18" s="6" t="s">
        <v>138</v>
      </c>
      <c r="C18" s="7" t="s">
        <v>148</v>
      </c>
      <c r="D18" s="8" t="s">
        <v>150</v>
      </c>
      <c r="E18" s="3"/>
      <c r="F18" s="3"/>
      <c r="G18" s="3"/>
      <c r="H18" s="3"/>
      <c r="I18" s="3"/>
      <c r="J18" s="3"/>
      <c r="K18" s="9">
        <v>22672</v>
      </c>
      <c r="L18" s="3"/>
      <c r="M18" s="3"/>
      <c r="N18" s="3" t="s">
        <v>93</v>
      </c>
      <c r="O18" s="3" t="s">
        <v>94</v>
      </c>
      <c r="P18" s="4"/>
      <c r="Q18" s="3"/>
      <c r="R18" s="3"/>
      <c r="S18" s="3"/>
      <c r="T18" s="3">
        <v>0</v>
      </c>
      <c r="U18" s="3">
        <v>5000</v>
      </c>
      <c r="V18" s="3">
        <v>0</v>
      </c>
      <c r="W18" s="3">
        <v>5000</v>
      </c>
      <c r="X18" s="3">
        <v>4500</v>
      </c>
      <c r="Y18" s="3">
        <v>1451</v>
      </c>
      <c r="Z18" s="3">
        <v>5951</v>
      </c>
      <c r="AA18" s="3">
        <v>500</v>
      </c>
      <c r="AB18" s="3">
        <v>0</v>
      </c>
      <c r="AC18" s="3">
        <v>500</v>
      </c>
      <c r="AD18" s="3">
        <v>1600</v>
      </c>
      <c r="AE18" s="3">
        <v>0</v>
      </c>
      <c r="AF18" s="3">
        <v>1600</v>
      </c>
      <c r="AG18" s="3">
        <v>4039</v>
      </c>
      <c r="AH18" s="3">
        <v>0</v>
      </c>
      <c r="AI18" s="3">
        <v>4039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f t="shared" si="7"/>
        <v>15639</v>
      </c>
      <c r="AQ18" s="3">
        <f t="shared" si="8"/>
        <v>1451</v>
      </c>
      <c r="AR18" s="3">
        <f t="shared" si="9"/>
        <v>17090</v>
      </c>
      <c r="AS18" s="3">
        <v>1448</v>
      </c>
      <c r="AT18" s="3">
        <v>0</v>
      </c>
      <c r="AU18" s="3">
        <v>1448</v>
      </c>
      <c r="AV18" s="3">
        <v>440</v>
      </c>
      <c r="AW18" s="3">
        <v>47</v>
      </c>
      <c r="AX18" s="3">
        <v>487</v>
      </c>
      <c r="AY18" s="3">
        <v>241</v>
      </c>
      <c r="AZ18" s="3">
        <v>0</v>
      </c>
      <c r="BA18" s="3">
        <v>241</v>
      </c>
      <c r="BB18" s="3">
        <v>417</v>
      </c>
      <c r="BC18" s="3"/>
      <c r="BD18" s="3">
        <v>417</v>
      </c>
      <c r="BE18" s="8">
        <v>0</v>
      </c>
      <c r="BF18" s="8">
        <f t="shared" si="0"/>
        <v>0</v>
      </c>
      <c r="BG18" s="8">
        <v>0</v>
      </c>
      <c r="BH18" s="3">
        <f t="shared" si="1"/>
        <v>2546</v>
      </c>
      <c r="BI18" s="3">
        <f t="shared" si="2"/>
        <v>47</v>
      </c>
      <c r="BJ18" s="3">
        <f t="shared" si="3"/>
        <v>2593</v>
      </c>
      <c r="BK18" s="3">
        <v>2300</v>
      </c>
      <c r="BL18" s="3">
        <v>0</v>
      </c>
      <c r="BM18" s="3">
        <v>2300</v>
      </c>
      <c r="BN18" s="3">
        <v>690</v>
      </c>
      <c r="BO18" s="3">
        <v>0</v>
      </c>
      <c r="BP18" s="3">
        <v>690</v>
      </c>
      <c r="BQ18" s="3">
        <v>0</v>
      </c>
      <c r="BR18" s="3">
        <v>0</v>
      </c>
      <c r="BS18" s="3">
        <v>0</v>
      </c>
      <c r="BT18" s="3">
        <f t="shared" si="10"/>
        <v>2990</v>
      </c>
      <c r="BU18" s="3">
        <f t="shared" si="11"/>
        <v>0</v>
      </c>
      <c r="BV18" s="3">
        <f t="shared" si="12"/>
        <v>2990</v>
      </c>
      <c r="BW18" s="3">
        <f t="shared" si="4"/>
        <v>21175</v>
      </c>
      <c r="BX18" s="3">
        <f t="shared" si="5"/>
        <v>1498</v>
      </c>
      <c r="BY18" s="3">
        <f t="shared" si="6"/>
        <v>22673</v>
      </c>
      <c r="BZ18" s="3">
        <f t="shared" si="13"/>
        <v>254100</v>
      </c>
      <c r="CA18" s="3">
        <f t="shared" si="13"/>
        <v>17976</v>
      </c>
      <c r="CB18" s="3">
        <f t="shared" si="13"/>
        <v>272076</v>
      </c>
      <c r="CC18" s="3">
        <f t="shared" si="14"/>
        <v>17976</v>
      </c>
      <c r="CD18" s="3">
        <v>14001</v>
      </c>
      <c r="CE18" s="3">
        <v>1440</v>
      </c>
      <c r="CF18" s="3">
        <v>15441</v>
      </c>
      <c r="CG18" s="3">
        <v>1337</v>
      </c>
      <c r="CH18" s="3">
        <v>0</v>
      </c>
      <c r="CI18" s="3">
        <v>1337</v>
      </c>
      <c r="CJ18" s="3">
        <v>200</v>
      </c>
      <c r="CK18" s="3">
        <v>0</v>
      </c>
      <c r="CL18" s="3">
        <v>200</v>
      </c>
      <c r="CM18" s="3">
        <v>102</v>
      </c>
      <c r="CN18" s="3">
        <v>11</v>
      </c>
      <c r="CO18" s="3">
        <v>113</v>
      </c>
    </row>
    <row r="19" spans="1:93" ht="15" customHeight="1" x14ac:dyDescent="0.25">
      <c r="A19" s="5" t="s">
        <v>113</v>
      </c>
      <c r="B19" s="6" t="s">
        <v>139</v>
      </c>
      <c r="C19" s="7" t="s">
        <v>148</v>
      </c>
      <c r="D19" s="8" t="s">
        <v>150</v>
      </c>
      <c r="E19" s="3"/>
      <c r="F19" s="3"/>
      <c r="G19" s="3"/>
      <c r="H19" s="3"/>
      <c r="I19" s="3"/>
      <c r="J19" s="3"/>
      <c r="K19" s="9">
        <v>25515</v>
      </c>
      <c r="L19" s="3"/>
      <c r="M19" s="3"/>
      <c r="N19" s="3" t="s">
        <v>93</v>
      </c>
      <c r="O19" s="3" t="s">
        <v>94</v>
      </c>
      <c r="P19" s="4"/>
      <c r="Q19" s="3"/>
      <c r="R19" s="3"/>
      <c r="S19" s="3"/>
      <c r="T19" s="3">
        <v>0</v>
      </c>
      <c r="U19" s="3">
        <v>8000</v>
      </c>
      <c r="V19" s="3">
        <v>0</v>
      </c>
      <c r="W19" s="3">
        <v>8000</v>
      </c>
      <c r="X19" s="3">
        <v>7500</v>
      </c>
      <c r="Y19" s="3">
        <v>1451</v>
      </c>
      <c r="Z19" s="3">
        <v>8951</v>
      </c>
      <c r="AA19" s="3">
        <v>800</v>
      </c>
      <c r="AB19" s="3">
        <v>0</v>
      </c>
      <c r="AC19" s="3">
        <v>800</v>
      </c>
      <c r="AD19" s="3">
        <v>1600</v>
      </c>
      <c r="AE19" s="3">
        <v>0</v>
      </c>
      <c r="AF19" s="3">
        <v>1600</v>
      </c>
      <c r="AG19" s="3">
        <v>189</v>
      </c>
      <c r="AH19" s="3">
        <v>0</v>
      </c>
      <c r="AI19" s="3">
        <v>189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f t="shared" si="7"/>
        <v>18089</v>
      </c>
      <c r="AQ19" s="3">
        <f t="shared" si="8"/>
        <v>1451</v>
      </c>
      <c r="AR19" s="3">
        <f t="shared" si="9"/>
        <v>19540</v>
      </c>
      <c r="AS19" s="3">
        <v>1377</v>
      </c>
      <c r="AT19" s="3">
        <v>0</v>
      </c>
      <c r="AU19" s="3">
        <v>1377</v>
      </c>
      <c r="AV19" s="3">
        <v>510</v>
      </c>
      <c r="AW19" s="3">
        <v>47</v>
      </c>
      <c r="AX19" s="3">
        <v>557</v>
      </c>
      <c r="AY19" s="3">
        <v>385</v>
      </c>
      <c r="AZ19" s="3">
        <v>0</v>
      </c>
      <c r="BA19" s="3">
        <v>385</v>
      </c>
      <c r="BB19" s="3">
        <v>666</v>
      </c>
      <c r="BC19" s="3"/>
      <c r="BD19" s="3">
        <v>666</v>
      </c>
      <c r="BE19" s="8">
        <v>0</v>
      </c>
      <c r="BF19" s="8">
        <f t="shared" si="0"/>
        <v>0</v>
      </c>
      <c r="BG19" s="8">
        <v>0</v>
      </c>
      <c r="BH19" s="3">
        <f t="shared" si="1"/>
        <v>2938</v>
      </c>
      <c r="BI19" s="3">
        <f t="shared" si="2"/>
        <v>47</v>
      </c>
      <c r="BJ19" s="3">
        <f t="shared" si="3"/>
        <v>2985</v>
      </c>
      <c r="BK19" s="3">
        <v>2300</v>
      </c>
      <c r="BL19" s="3">
        <v>0</v>
      </c>
      <c r="BM19" s="3">
        <v>2300</v>
      </c>
      <c r="BN19" s="3">
        <v>690</v>
      </c>
      <c r="BO19" s="3">
        <v>0</v>
      </c>
      <c r="BP19" s="3">
        <v>690</v>
      </c>
      <c r="BQ19" s="3">
        <v>0</v>
      </c>
      <c r="BR19" s="3">
        <v>0</v>
      </c>
      <c r="BS19" s="3">
        <v>0</v>
      </c>
      <c r="BT19" s="3">
        <f t="shared" si="10"/>
        <v>2990</v>
      </c>
      <c r="BU19" s="3">
        <f t="shared" si="11"/>
        <v>0</v>
      </c>
      <c r="BV19" s="3">
        <f t="shared" si="12"/>
        <v>2990</v>
      </c>
      <c r="BW19" s="3">
        <f t="shared" si="4"/>
        <v>24017</v>
      </c>
      <c r="BX19" s="3">
        <f t="shared" si="5"/>
        <v>1498</v>
      </c>
      <c r="BY19" s="3">
        <f t="shared" si="6"/>
        <v>25515</v>
      </c>
      <c r="BZ19" s="3">
        <f t="shared" si="13"/>
        <v>288204</v>
      </c>
      <c r="CA19" s="3">
        <f t="shared" si="13"/>
        <v>17976</v>
      </c>
      <c r="CB19" s="3">
        <f t="shared" si="13"/>
        <v>306180</v>
      </c>
      <c r="CC19" s="3">
        <f t="shared" si="14"/>
        <v>17976</v>
      </c>
      <c r="CD19" s="3">
        <v>16501</v>
      </c>
      <c r="CE19" s="3">
        <v>1440</v>
      </c>
      <c r="CF19" s="3">
        <v>17941</v>
      </c>
      <c r="CG19" s="3">
        <v>1271</v>
      </c>
      <c r="CH19" s="3">
        <v>0</v>
      </c>
      <c r="CI19" s="3">
        <v>1271</v>
      </c>
      <c r="CJ19" s="3">
        <v>200</v>
      </c>
      <c r="CK19" s="3">
        <v>0</v>
      </c>
      <c r="CL19" s="3">
        <v>200</v>
      </c>
      <c r="CM19" s="3">
        <v>118</v>
      </c>
      <c r="CN19" s="3">
        <v>11</v>
      </c>
      <c r="CO19" s="3">
        <v>129</v>
      </c>
    </row>
    <row r="20" spans="1:93" x14ac:dyDescent="0.25">
      <c r="A20" s="5" t="s">
        <v>114</v>
      </c>
      <c r="B20" s="6" t="s">
        <v>140</v>
      </c>
      <c r="C20" s="7" t="s">
        <v>148</v>
      </c>
      <c r="D20" s="8" t="s">
        <v>150</v>
      </c>
      <c r="E20" s="3"/>
      <c r="F20" s="3"/>
      <c r="G20" s="3"/>
      <c r="H20" s="3"/>
      <c r="I20" s="3"/>
      <c r="J20" s="3"/>
      <c r="K20" s="9">
        <v>24882</v>
      </c>
      <c r="L20" s="3"/>
      <c r="M20" s="3"/>
      <c r="N20" s="3" t="s">
        <v>93</v>
      </c>
      <c r="O20" s="3" t="s">
        <v>94</v>
      </c>
      <c r="P20" s="4"/>
      <c r="Q20" s="3"/>
      <c r="R20" s="3"/>
      <c r="S20" s="3"/>
      <c r="T20" s="3">
        <v>0</v>
      </c>
      <c r="U20" s="3">
        <v>7000</v>
      </c>
      <c r="V20" s="3">
        <v>0</v>
      </c>
      <c r="W20" s="3">
        <v>7000</v>
      </c>
      <c r="X20" s="3">
        <v>6900</v>
      </c>
      <c r="Y20" s="3">
        <v>1431</v>
      </c>
      <c r="Z20" s="3">
        <v>8331</v>
      </c>
      <c r="AA20" s="3">
        <v>500</v>
      </c>
      <c r="AB20" s="3">
        <v>0</v>
      </c>
      <c r="AC20" s="3">
        <v>500</v>
      </c>
      <c r="AD20" s="3">
        <v>1600</v>
      </c>
      <c r="AE20" s="3">
        <v>0</v>
      </c>
      <c r="AF20" s="3">
        <v>1600</v>
      </c>
      <c r="AG20" s="3">
        <v>1600</v>
      </c>
      <c r="AH20" s="3">
        <v>0</v>
      </c>
      <c r="AI20" s="3">
        <v>1600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f t="shared" si="7"/>
        <v>17600</v>
      </c>
      <c r="AQ20" s="3">
        <f t="shared" si="8"/>
        <v>1431</v>
      </c>
      <c r="AR20" s="3">
        <f t="shared" si="9"/>
        <v>19031</v>
      </c>
      <c r="AS20" s="3">
        <v>1391</v>
      </c>
      <c r="AT20" s="3">
        <v>0</v>
      </c>
      <c r="AU20" s="3">
        <v>1391</v>
      </c>
      <c r="AV20" s="3">
        <v>504</v>
      </c>
      <c r="AW20" s="3">
        <v>47</v>
      </c>
      <c r="AX20" s="3">
        <v>550</v>
      </c>
      <c r="AY20" s="3">
        <v>337</v>
      </c>
      <c r="AZ20" s="3">
        <v>0</v>
      </c>
      <c r="BA20" s="3">
        <v>337</v>
      </c>
      <c r="BB20" s="3">
        <v>583</v>
      </c>
      <c r="BC20" s="3"/>
      <c r="BD20" s="3">
        <v>583</v>
      </c>
      <c r="BE20" s="8">
        <v>0</v>
      </c>
      <c r="BF20" s="8">
        <f t="shared" si="0"/>
        <v>0</v>
      </c>
      <c r="BG20" s="8">
        <v>0</v>
      </c>
      <c r="BH20" s="3">
        <f t="shared" si="1"/>
        <v>2815</v>
      </c>
      <c r="BI20" s="3">
        <f t="shared" si="2"/>
        <v>47</v>
      </c>
      <c r="BJ20" s="3">
        <f t="shared" si="3"/>
        <v>2861</v>
      </c>
      <c r="BK20" s="3">
        <v>2300</v>
      </c>
      <c r="BL20" s="3">
        <v>0</v>
      </c>
      <c r="BM20" s="3">
        <v>2300</v>
      </c>
      <c r="BN20" s="3">
        <v>690</v>
      </c>
      <c r="BO20" s="3">
        <v>0</v>
      </c>
      <c r="BP20" s="3">
        <v>690</v>
      </c>
      <c r="BQ20" s="3">
        <v>0</v>
      </c>
      <c r="BR20" s="3">
        <v>0</v>
      </c>
      <c r="BS20" s="3">
        <v>0</v>
      </c>
      <c r="BT20" s="3">
        <f t="shared" si="10"/>
        <v>2990</v>
      </c>
      <c r="BU20" s="3">
        <f t="shared" si="11"/>
        <v>0</v>
      </c>
      <c r="BV20" s="3">
        <f t="shared" si="12"/>
        <v>2990</v>
      </c>
      <c r="BW20" s="3">
        <f t="shared" si="4"/>
        <v>23405</v>
      </c>
      <c r="BX20" s="3">
        <f t="shared" si="5"/>
        <v>1478</v>
      </c>
      <c r="BY20" s="3">
        <f t="shared" si="6"/>
        <v>24882</v>
      </c>
      <c r="BZ20" s="3">
        <f t="shared" si="13"/>
        <v>280860</v>
      </c>
      <c r="CA20" s="3">
        <f t="shared" si="13"/>
        <v>17736</v>
      </c>
      <c r="CB20" s="3">
        <f t="shared" si="13"/>
        <v>298584</v>
      </c>
      <c r="CC20" s="3">
        <f t="shared" si="14"/>
        <v>17736</v>
      </c>
      <c r="CD20" s="3">
        <v>16000</v>
      </c>
      <c r="CE20" s="3">
        <v>1420</v>
      </c>
      <c r="CF20" s="3">
        <v>17420</v>
      </c>
      <c r="CG20" s="3">
        <v>1284</v>
      </c>
      <c r="CH20" s="3">
        <v>0</v>
      </c>
      <c r="CI20" s="3">
        <v>1284</v>
      </c>
      <c r="CJ20" s="3">
        <v>200</v>
      </c>
      <c r="CK20" s="3">
        <v>0</v>
      </c>
      <c r="CL20" s="3">
        <v>200</v>
      </c>
      <c r="CM20" s="3">
        <v>116</v>
      </c>
      <c r="CN20" s="3">
        <v>11</v>
      </c>
      <c r="CO20" s="3">
        <v>127</v>
      </c>
    </row>
    <row r="21" spans="1:93" x14ac:dyDescent="0.25">
      <c r="A21" s="5" t="s">
        <v>115</v>
      </c>
      <c r="B21" s="6" t="s">
        <v>141</v>
      </c>
      <c r="C21" s="7" t="s">
        <v>148</v>
      </c>
      <c r="D21" s="8" t="s">
        <v>152</v>
      </c>
      <c r="E21" s="3"/>
      <c r="F21" s="3"/>
      <c r="G21" s="3"/>
      <c r="H21" s="3"/>
      <c r="I21" s="3"/>
      <c r="J21" s="3"/>
      <c r="K21" s="9">
        <v>38693</v>
      </c>
      <c r="L21" s="3"/>
      <c r="M21" s="3"/>
      <c r="N21" s="3" t="s">
        <v>93</v>
      </c>
      <c r="O21" s="3" t="s">
        <v>94</v>
      </c>
      <c r="P21" s="4"/>
      <c r="Q21" s="3"/>
      <c r="R21" s="3"/>
      <c r="S21" s="3"/>
      <c r="T21" s="3">
        <v>0</v>
      </c>
      <c r="U21" s="3">
        <v>7500</v>
      </c>
      <c r="V21" s="3">
        <v>0</v>
      </c>
      <c r="W21" s="3">
        <v>7500</v>
      </c>
      <c r="X21" s="3">
        <v>6900</v>
      </c>
      <c r="Y21" s="3">
        <v>1467</v>
      </c>
      <c r="Z21" s="3">
        <v>8367</v>
      </c>
      <c r="AA21" s="3">
        <v>500</v>
      </c>
      <c r="AB21" s="3">
        <v>0</v>
      </c>
      <c r="AC21" s="3">
        <v>500</v>
      </c>
      <c r="AD21" s="3">
        <v>1600</v>
      </c>
      <c r="AE21" s="3">
        <v>0</v>
      </c>
      <c r="AF21" s="3">
        <v>1600</v>
      </c>
      <c r="AG21" s="3">
        <v>13500</v>
      </c>
      <c r="AH21" s="3">
        <v>0</v>
      </c>
      <c r="AI21" s="3">
        <v>13500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f t="shared" si="7"/>
        <v>30000</v>
      </c>
      <c r="AQ21" s="3">
        <f t="shared" si="8"/>
        <v>1467</v>
      </c>
      <c r="AR21" s="3">
        <f t="shared" si="9"/>
        <v>31467</v>
      </c>
      <c r="AS21" s="3">
        <v>1950</v>
      </c>
      <c r="AT21" s="3">
        <v>0</v>
      </c>
      <c r="AU21" s="3">
        <v>1950</v>
      </c>
      <c r="AV21" s="3">
        <v>0</v>
      </c>
      <c r="AW21" s="3">
        <v>0</v>
      </c>
      <c r="AX21" s="3">
        <v>0</v>
      </c>
      <c r="AY21" s="3">
        <v>361</v>
      </c>
      <c r="AZ21" s="3">
        <v>0</v>
      </c>
      <c r="BA21" s="3">
        <v>361</v>
      </c>
      <c r="BB21" s="3">
        <v>625</v>
      </c>
      <c r="BC21" s="3"/>
      <c r="BD21" s="3">
        <v>625</v>
      </c>
      <c r="BE21" s="8">
        <v>0</v>
      </c>
      <c r="BF21" s="8">
        <f t="shared" si="0"/>
        <v>0</v>
      </c>
      <c r="BG21" s="8">
        <v>0</v>
      </c>
      <c r="BH21" s="3">
        <f t="shared" si="1"/>
        <v>2936</v>
      </c>
      <c r="BI21" s="3">
        <f t="shared" si="2"/>
        <v>0</v>
      </c>
      <c r="BJ21" s="3">
        <f t="shared" si="3"/>
        <v>2936</v>
      </c>
      <c r="BK21" s="3">
        <v>3300</v>
      </c>
      <c r="BL21" s="3">
        <v>0</v>
      </c>
      <c r="BM21" s="3">
        <v>3300</v>
      </c>
      <c r="BN21" s="3">
        <v>990</v>
      </c>
      <c r="BO21" s="3">
        <v>0</v>
      </c>
      <c r="BP21" s="3">
        <v>990</v>
      </c>
      <c r="BQ21" s="3">
        <v>0</v>
      </c>
      <c r="BR21" s="3">
        <v>0</v>
      </c>
      <c r="BS21" s="3">
        <v>0</v>
      </c>
      <c r="BT21" s="3">
        <f t="shared" si="10"/>
        <v>4290</v>
      </c>
      <c r="BU21" s="3">
        <f t="shared" si="11"/>
        <v>0</v>
      </c>
      <c r="BV21" s="3">
        <f t="shared" si="12"/>
        <v>4290</v>
      </c>
      <c r="BW21" s="3">
        <f t="shared" si="4"/>
        <v>37226</v>
      </c>
      <c r="BX21" s="3">
        <f t="shared" si="5"/>
        <v>1467</v>
      </c>
      <c r="BY21" s="3">
        <f t="shared" si="6"/>
        <v>38693</v>
      </c>
      <c r="BZ21" s="3">
        <f t="shared" si="13"/>
        <v>446712</v>
      </c>
      <c r="CA21" s="3">
        <f t="shared" si="13"/>
        <v>17604</v>
      </c>
      <c r="CB21" s="3">
        <f t="shared" si="13"/>
        <v>464316</v>
      </c>
      <c r="CC21" s="3">
        <f t="shared" si="14"/>
        <v>17604</v>
      </c>
      <c r="CD21" s="3">
        <v>28000</v>
      </c>
      <c r="CE21" s="3">
        <v>1467</v>
      </c>
      <c r="CF21" s="3">
        <v>29467</v>
      </c>
      <c r="CG21" s="3">
        <v>1800</v>
      </c>
      <c r="CH21" s="3">
        <v>0</v>
      </c>
      <c r="CI21" s="3">
        <v>1800</v>
      </c>
      <c r="CJ21" s="3">
        <v>200</v>
      </c>
      <c r="CK21" s="3">
        <v>0</v>
      </c>
      <c r="CL21" s="3">
        <v>200</v>
      </c>
      <c r="CM21" s="3">
        <v>0</v>
      </c>
      <c r="CN21" s="3">
        <v>0</v>
      </c>
      <c r="CO21" s="3">
        <v>0</v>
      </c>
    </row>
    <row r="22" spans="1:93" x14ac:dyDescent="0.25">
      <c r="A22" s="5" t="s">
        <v>116</v>
      </c>
      <c r="B22" s="6" t="s">
        <v>142</v>
      </c>
      <c r="C22" s="7" t="s">
        <v>148</v>
      </c>
      <c r="D22" s="8" t="s">
        <v>150</v>
      </c>
      <c r="E22" s="3"/>
      <c r="F22" s="3"/>
      <c r="G22" s="3"/>
      <c r="H22" s="3"/>
      <c r="I22" s="3"/>
      <c r="J22" s="3"/>
      <c r="K22" s="9">
        <v>23610</v>
      </c>
      <c r="L22" s="3"/>
      <c r="M22" s="3"/>
      <c r="N22" s="3" t="s">
        <v>93</v>
      </c>
      <c r="O22" s="3" t="s">
        <v>94</v>
      </c>
      <c r="P22" s="4"/>
      <c r="Q22" s="3"/>
      <c r="R22" s="3"/>
      <c r="S22" s="3"/>
      <c r="T22" s="3">
        <v>0</v>
      </c>
      <c r="U22" s="3">
        <v>6500</v>
      </c>
      <c r="V22" s="3">
        <v>0</v>
      </c>
      <c r="W22" s="3">
        <v>6500</v>
      </c>
      <c r="X22" s="3">
        <v>6100</v>
      </c>
      <c r="Y22" s="3">
        <v>1328</v>
      </c>
      <c r="Z22" s="3">
        <v>7428</v>
      </c>
      <c r="AA22" s="3">
        <v>500</v>
      </c>
      <c r="AB22" s="3">
        <v>0</v>
      </c>
      <c r="AC22" s="3">
        <v>500</v>
      </c>
      <c r="AD22" s="3">
        <v>1600</v>
      </c>
      <c r="AE22" s="3">
        <v>0</v>
      </c>
      <c r="AF22" s="3">
        <v>1600</v>
      </c>
      <c r="AG22" s="3">
        <v>1864</v>
      </c>
      <c r="AH22" s="3">
        <v>0</v>
      </c>
      <c r="AI22" s="3">
        <v>1864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f t="shared" si="7"/>
        <v>16564</v>
      </c>
      <c r="AQ22" s="3">
        <f t="shared" si="8"/>
        <v>1328</v>
      </c>
      <c r="AR22" s="3">
        <f t="shared" si="9"/>
        <v>17892</v>
      </c>
      <c r="AS22" s="3">
        <v>1360</v>
      </c>
      <c r="AT22" s="3">
        <v>0</v>
      </c>
      <c r="AU22" s="3">
        <v>1360</v>
      </c>
      <c r="AV22" s="3">
        <v>470</v>
      </c>
      <c r="AW22" s="3">
        <v>43</v>
      </c>
      <c r="AX22" s="3">
        <v>513</v>
      </c>
      <c r="AY22" s="3">
        <v>313</v>
      </c>
      <c r="AZ22" s="3">
        <v>0</v>
      </c>
      <c r="BA22" s="3">
        <v>313</v>
      </c>
      <c r="BB22" s="3">
        <v>541</v>
      </c>
      <c r="BC22" s="3"/>
      <c r="BD22" s="3">
        <v>541</v>
      </c>
      <c r="BE22" s="8">
        <v>0</v>
      </c>
      <c r="BF22" s="8">
        <f t="shared" si="0"/>
        <v>0</v>
      </c>
      <c r="BG22" s="8">
        <v>0</v>
      </c>
      <c r="BH22" s="3">
        <f t="shared" si="1"/>
        <v>2684</v>
      </c>
      <c r="BI22" s="3">
        <f t="shared" si="2"/>
        <v>43</v>
      </c>
      <c r="BJ22" s="3">
        <f t="shared" si="3"/>
        <v>2727</v>
      </c>
      <c r="BK22" s="3">
        <v>2300</v>
      </c>
      <c r="BL22" s="3">
        <v>0</v>
      </c>
      <c r="BM22" s="3">
        <v>2300</v>
      </c>
      <c r="BN22" s="3">
        <v>690</v>
      </c>
      <c r="BO22" s="3">
        <v>0</v>
      </c>
      <c r="BP22" s="3">
        <v>690</v>
      </c>
      <c r="BQ22" s="3">
        <v>0</v>
      </c>
      <c r="BR22" s="3">
        <v>0</v>
      </c>
      <c r="BS22" s="3">
        <v>0</v>
      </c>
      <c r="BT22" s="3">
        <f t="shared" si="10"/>
        <v>2990</v>
      </c>
      <c r="BU22" s="3">
        <f t="shared" si="11"/>
        <v>0</v>
      </c>
      <c r="BV22" s="3">
        <f t="shared" si="12"/>
        <v>2990</v>
      </c>
      <c r="BW22" s="3">
        <f t="shared" si="4"/>
        <v>22238</v>
      </c>
      <c r="BX22" s="3">
        <f t="shared" si="5"/>
        <v>1371</v>
      </c>
      <c r="BY22" s="3">
        <f t="shared" si="6"/>
        <v>23609</v>
      </c>
      <c r="BZ22" s="3">
        <f t="shared" si="13"/>
        <v>266856</v>
      </c>
      <c r="CA22" s="3">
        <f t="shared" si="13"/>
        <v>16452</v>
      </c>
      <c r="CB22" s="3">
        <f t="shared" si="13"/>
        <v>283308</v>
      </c>
      <c r="CC22" s="3">
        <f t="shared" si="14"/>
        <v>16452</v>
      </c>
      <c r="CD22" s="3">
        <v>15000</v>
      </c>
      <c r="CE22" s="3">
        <v>1318</v>
      </c>
      <c r="CF22" s="3">
        <v>16318</v>
      </c>
      <c r="CG22" s="3">
        <v>1256</v>
      </c>
      <c r="CH22" s="3">
        <v>0</v>
      </c>
      <c r="CI22" s="3">
        <v>1256</v>
      </c>
      <c r="CJ22" s="3">
        <v>200</v>
      </c>
      <c r="CK22" s="3">
        <v>0</v>
      </c>
      <c r="CL22" s="3">
        <v>200</v>
      </c>
      <c r="CM22" s="3">
        <v>108</v>
      </c>
      <c r="CN22" s="3">
        <v>10</v>
      </c>
      <c r="CO22" s="3">
        <v>118</v>
      </c>
    </row>
    <row r="23" spans="1:93" x14ac:dyDescent="0.25">
      <c r="A23" s="5" t="s">
        <v>117</v>
      </c>
      <c r="B23" s="6" t="s">
        <v>143</v>
      </c>
      <c r="C23" s="7" t="s">
        <v>148</v>
      </c>
      <c r="D23" s="8" t="s">
        <v>150</v>
      </c>
      <c r="E23" s="3"/>
      <c r="F23" s="3"/>
      <c r="G23" s="3"/>
      <c r="H23" s="3"/>
      <c r="I23" s="3"/>
      <c r="J23" s="3"/>
      <c r="K23" s="9">
        <v>25295</v>
      </c>
      <c r="L23" s="3"/>
      <c r="M23" s="3"/>
      <c r="N23" s="3" t="s">
        <v>93</v>
      </c>
      <c r="O23" s="3" t="s">
        <v>94</v>
      </c>
      <c r="P23" s="3"/>
      <c r="Q23" s="3"/>
      <c r="R23" s="3"/>
      <c r="S23" s="3"/>
      <c r="T23" s="3">
        <v>0</v>
      </c>
      <c r="U23" s="3">
        <v>7000</v>
      </c>
      <c r="V23" s="3">
        <v>0</v>
      </c>
      <c r="W23" s="3">
        <v>7000</v>
      </c>
      <c r="X23" s="3">
        <v>6900</v>
      </c>
      <c r="Y23" s="3">
        <v>1831</v>
      </c>
      <c r="Z23" s="3">
        <v>8731</v>
      </c>
      <c r="AA23" s="3">
        <v>500</v>
      </c>
      <c r="AB23" s="3">
        <v>0</v>
      </c>
      <c r="AC23" s="3">
        <v>500</v>
      </c>
      <c r="AD23" s="3">
        <v>1600</v>
      </c>
      <c r="AE23" s="3">
        <v>0</v>
      </c>
      <c r="AF23" s="3">
        <v>1600</v>
      </c>
      <c r="AG23" s="3">
        <v>1600</v>
      </c>
      <c r="AH23" s="3">
        <v>0</v>
      </c>
      <c r="AI23" s="3">
        <v>1600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f t="shared" si="7"/>
        <v>17600</v>
      </c>
      <c r="AQ23" s="3">
        <f t="shared" si="8"/>
        <v>1831</v>
      </c>
      <c r="AR23" s="3">
        <f t="shared" si="9"/>
        <v>19431</v>
      </c>
      <c r="AS23" s="3">
        <v>1391</v>
      </c>
      <c r="AT23" s="3">
        <v>0</v>
      </c>
      <c r="AU23" s="3">
        <v>1391</v>
      </c>
      <c r="AV23" s="3">
        <v>504</v>
      </c>
      <c r="AW23" s="3">
        <v>60</v>
      </c>
      <c r="AX23" s="3">
        <v>563</v>
      </c>
      <c r="AY23" s="3">
        <v>337</v>
      </c>
      <c r="AZ23" s="3">
        <v>0</v>
      </c>
      <c r="BA23" s="3">
        <v>337</v>
      </c>
      <c r="BB23" s="3">
        <v>583</v>
      </c>
      <c r="BC23" s="3"/>
      <c r="BD23" s="3">
        <v>583</v>
      </c>
      <c r="BE23" s="8">
        <v>0</v>
      </c>
      <c r="BF23" s="8">
        <f t="shared" si="0"/>
        <v>0</v>
      </c>
      <c r="BG23" s="8">
        <v>0</v>
      </c>
      <c r="BH23" s="3">
        <f t="shared" si="1"/>
        <v>2815</v>
      </c>
      <c r="BI23" s="3">
        <f t="shared" si="2"/>
        <v>60</v>
      </c>
      <c r="BJ23" s="3">
        <f t="shared" si="3"/>
        <v>2874</v>
      </c>
      <c r="BK23" s="3">
        <v>2300</v>
      </c>
      <c r="BL23" s="3">
        <v>0</v>
      </c>
      <c r="BM23" s="3">
        <v>2300</v>
      </c>
      <c r="BN23" s="3">
        <v>690</v>
      </c>
      <c r="BO23" s="3">
        <v>0</v>
      </c>
      <c r="BP23" s="3">
        <v>690</v>
      </c>
      <c r="BQ23" s="3">
        <v>0</v>
      </c>
      <c r="BR23" s="3">
        <v>0</v>
      </c>
      <c r="BS23" s="3">
        <v>0</v>
      </c>
      <c r="BT23" s="3">
        <f t="shared" si="10"/>
        <v>2990</v>
      </c>
      <c r="BU23" s="3">
        <f t="shared" si="11"/>
        <v>0</v>
      </c>
      <c r="BV23" s="3">
        <f t="shared" si="12"/>
        <v>2990</v>
      </c>
      <c r="BW23" s="3">
        <f t="shared" si="4"/>
        <v>23405</v>
      </c>
      <c r="BX23" s="3">
        <f t="shared" si="5"/>
        <v>1891</v>
      </c>
      <c r="BY23" s="3">
        <f t="shared" si="6"/>
        <v>25295</v>
      </c>
      <c r="BZ23" s="3">
        <f t="shared" si="13"/>
        <v>280860</v>
      </c>
      <c r="CA23" s="3">
        <f t="shared" si="13"/>
        <v>22692</v>
      </c>
      <c r="CB23" s="3">
        <f t="shared" si="13"/>
        <v>303540</v>
      </c>
      <c r="CC23" s="3">
        <f t="shared" si="14"/>
        <v>22692</v>
      </c>
      <c r="CD23" s="3">
        <v>16000</v>
      </c>
      <c r="CE23" s="3">
        <v>1817</v>
      </c>
      <c r="CF23" s="3">
        <v>17817</v>
      </c>
      <c r="CG23" s="3">
        <v>1284</v>
      </c>
      <c r="CH23" s="3">
        <v>0</v>
      </c>
      <c r="CI23" s="3">
        <v>1284</v>
      </c>
      <c r="CJ23" s="3">
        <v>200</v>
      </c>
      <c r="CK23" s="3">
        <v>0</v>
      </c>
      <c r="CL23" s="3">
        <v>200</v>
      </c>
      <c r="CM23" s="3">
        <v>116</v>
      </c>
      <c r="CN23" s="3">
        <v>14</v>
      </c>
      <c r="CO23" s="3">
        <v>130</v>
      </c>
    </row>
    <row r="24" spans="1:93" x14ac:dyDescent="0.25">
      <c r="A24" s="5" t="s">
        <v>118</v>
      </c>
      <c r="B24" s="6" t="s">
        <v>144</v>
      </c>
      <c r="C24" s="7" t="s">
        <v>148</v>
      </c>
      <c r="D24" s="8" t="s">
        <v>150</v>
      </c>
      <c r="E24" s="3"/>
      <c r="F24" s="3"/>
      <c r="G24" s="3"/>
      <c r="H24" s="3"/>
      <c r="I24" s="3"/>
      <c r="J24" s="3"/>
      <c r="K24" s="9">
        <v>24193</v>
      </c>
      <c r="L24" s="3"/>
      <c r="M24" s="3"/>
      <c r="N24" s="3" t="s">
        <v>93</v>
      </c>
      <c r="O24" s="3" t="s">
        <v>94</v>
      </c>
      <c r="P24" s="3"/>
      <c r="Q24" s="3"/>
      <c r="R24" s="3"/>
      <c r="S24" s="3"/>
      <c r="T24" s="3">
        <v>0</v>
      </c>
      <c r="U24" s="3">
        <v>7000</v>
      </c>
      <c r="V24" s="3">
        <v>0</v>
      </c>
      <c r="W24" s="3">
        <v>7000</v>
      </c>
      <c r="X24" s="3">
        <v>6900</v>
      </c>
      <c r="Y24" s="3">
        <v>785</v>
      </c>
      <c r="Z24" s="3">
        <v>7685</v>
      </c>
      <c r="AA24" s="3">
        <v>1000</v>
      </c>
      <c r="AB24" s="3">
        <v>0</v>
      </c>
      <c r="AC24" s="3">
        <v>1000</v>
      </c>
      <c r="AD24" s="3">
        <v>1600</v>
      </c>
      <c r="AE24" s="3">
        <v>0</v>
      </c>
      <c r="AF24" s="3">
        <v>1600</v>
      </c>
      <c r="AG24" s="3">
        <v>1095</v>
      </c>
      <c r="AH24" s="3">
        <v>0</v>
      </c>
      <c r="AI24" s="3">
        <v>1095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f t="shared" si="7"/>
        <v>17595</v>
      </c>
      <c r="AQ24" s="3">
        <f t="shared" si="8"/>
        <v>785</v>
      </c>
      <c r="AR24" s="3">
        <f t="shared" si="9"/>
        <v>18380</v>
      </c>
      <c r="AS24" s="3">
        <v>1390</v>
      </c>
      <c r="AT24" s="3">
        <v>0</v>
      </c>
      <c r="AU24" s="3">
        <v>1390</v>
      </c>
      <c r="AV24" s="3">
        <v>487</v>
      </c>
      <c r="AW24" s="3">
        <v>26</v>
      </c>
      <c r="AX24" s="3">
        <v>513</v>
      </c>
      <c r="AY24" s="3">
        <v>337</v>
      </c>
      <c r="AZ24" s="3">
        <v>0</v>
      </c>
      <c r="BA24" s="3">
        <v>337</v>
      </c>
      <c r="BB24" s="3">
        <v>583</v>
      </c>
      <c r="BC24" s="3"/>
      <c r="BD24" s="3">
        <v>583</v>
      </c>
      <c r="BE24" s="8">
        <v>0</v>
      </c>
      <c r="BF24" s="8">
        <f t="shared" si="0"/>
        <v>0</v>
      </c>
      <c r="BG24" s="8">
        <v>0</v>
      </c>
      <c r="BH24" s="3">
        <f t="shared" si="1"/>
        <v>2797</v>
      </c>
      <c r="BI24" s="3">
        <f t="shared" si="2"/>
        <v>26</v>
      </c>
      <c r="BJ24" s="3">
        <f t="shared" si="3"/>
        <v>2823</v>
      </c>
      <c r="BK24" s="3">
        <v>2300</v>
      </c>
      <c r="BL24" s="3">
        <v>0</v>
      </c>
      <c r="BM24" s="3">
        <v>2300</v>
      </c>
      <c r="BN24" s="3">
        <v>690</v>
      </c>
      <c r="BO24" s="3">
        <v>0</v>
      </c>
      <c r="BP24" s="3">
        <v>690</v>
      </c>
      <c r="BQ24" s="3">
        <v>0</v>
      </c>
      <c r="BR24" s="3">
        <v>0</v>
      </c>
      <c r="BS24" s="3">
        <v>0</v>
      </c>
      <c r="BT24" s="3">
        <f t="shared" si="10"/>
        <v>2990</v>
      </c>
      <c r="BU24" s="3">
        <f t="shared" si="11"/>
        <v>0</v>
      </c>
      <c r="BV24" s="3">
        <f t="shared" si="12"/>
        <v>2990</v>
      </c>
      <c r="BW24" s="3">
        <f t="shared" si="4"/>
        <v>23382</v>
      </c>
      <c r="BX24" s="3">
        <f t="shared" si="5"/>
        <v>811</v>
      </c>
      <c r="BY24" s="3">
        <f t="shared" si="6"/>
        <v>24193</v>
      </c>
      <c r="BZ24" s="3">
        <f t="shared" si="13"/>
        <v>280584</v>
      </c>
      <c r="CA24" s="3">
        <f t="shared" si="13"/>
        <v>9732</v>
      </c>
      <c r="CB24" s="3">
        <f t="shared" si="13"/>
        <v>290316</v>
      </c>
      <c r="CC24" s="3">
        <f t="shared" si="14"/>
        <v>9732</v>
      </c>
      <c r="CD24" s="3">
        <v>15999</v>
      </c>
      <c r="CE24" s="3">
        <v>779</v>
      </c>
      <c r="CF24" s="3">
        <v>16778</v>
      </c>
      <c r="CG24" s="3">
        <v>1283</v>
      </c>
      <c r="CH24" s="3">
        <v>0</v>
      </c>
      <c r="CI24" s="3">
        <v>1283</v>
      </c>
      <c r="CJ24" s="3">
        <v>200</v>
      </c>
      <c r="CK24" s="3">
        <v>0</v>
      </c>
      <c r="CL24" s="3">
        <v>200</v>
      </c>
      <c r="CM24" s="3">
        <v>112</v>
      </c>
      <c r="CN24" s="3">
        <v>6</v>
      </c>
      <c r="CO24" s="3">
        <v>118</v>
      </c>
    </row>
    <row r="25" spans="1:93" x14ac:dyDescent="0.25">
      <c r="A25" s="5" t="s">
        <v>119</v>
      </c>
      <c r="B25" s="6" t="s">
        <v>145</v>
      </c>
      <c r="C25" s="7" t="s">
        <v>148</v>
      </c>
      <c r="D25" s="8" t="s">
        <v>150</v>
      </c>
      <c r="E25" s="3"/>
      <c r="F25" s="3"/>
      <c r="G25" s="3"/>
      <c r="H25" s="3"/>
      <c r="I25" s="3"/>
      <c r="J25" s="3"/>
      <c r="K25" s="9">
        <v>24132</v>
      </c>
      <c r="L25" s="3"/>
      <c r="M25" s="3"/>
      <c r="N25" s="3" t="s">
        <v>93</v>
      </c>
      <c r="O25" s="3" t="s">
        <v>94</v>
      </c>
      <c r="P25" s="3"/>
      <c r="Q25" s="3"/>
      <c r="R25" s="3"/>
      <c r="S25" s="3"/>
      <c r="T25" s="3">
        <v>0</v>
      </c>
      <c r="U25" s="3">
        <v>7000</v>
      </c>
      <c r="V25" s="3">
        <v>0</v>
      </c>
      <c r="W25" s="3">
        <v>7000</v>
      </c>
      <c r="X25" s="3">
        <v>6900</v>
      </c>
      <c r="Y25" s="3">
        <v>726</v>
      </c>
      <c r="Z25" s="3">
        <v>7626</v>
      </c>
      <c r="AA25" s="3">
        <v>1000</v>
      </c>
      <c r="AB25" s="3">
        <v>0</v>
      </c>
      <c r="AC25" s="3">
        <v>1000</v>
      </c>
      <c r="AD25" s="3">
        <v>1600</v>
      </c>
      <c r="AE25" s="3">
        <v>0</v>
      </c>
      <c r="AF25" s="3">
        <v>1600</v>
      </c>
      <c r="AG25" s="3">
        <v>1095</v>
      </c>
      <c r="AH25" s="3">
        <v>0</v>
      </c>
      <c r="AI25" s="3">
        <v>1095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f t="shared" si="7"/>
        <v>17595</v>
      </c>
      <c r="AQ25" s="3">
        <f t="shared" si="8"/>
        <v>726</v>
      </c>
      <c r="AR25" s="3">
        <f t="shared" si="9"/>
        <v>18321</v>
      </c>
      <c r="AS25" s="3">
        <v>1390</v>
      </c>
      <c r="AT25" s="3">
        <v>0</v>
      </c>
      <c r="AU25" s="3">
        <v>1390</v>
      </c>
      <c r="AV25" s="3">
        <v>487</v>
      </c>
      <c r="AW25" s="3">
        <v>24</v>
      </c>
      <c r="AX25" s="3">
        <v>511</v>
      </c>
      <c r="AY25" s="3">
        <v>337</v>
      </c>
      <c r="AZ25" s="3">
        <v>0</v>
      </c>
      <c r="BA25" s="3">
        <v>337</v>
      </c>
      <c r="BB25" s="3">
        <v>583</v>
      </c>
      <c r="BC25" s="3"/>
      <c r="BD25" s="3">
        <v>583</v>
      </c>
      <c r="BE25" s="8">
        <v>0</v>
      </c>
      <c r="BF25" s="8">
        <f t="shared" si="0"/>
        <v>0</v>
      </c>
      <c r="BG25" s="8">
        <v>0</v>
      </c>
      <c r="BH25" s="3">
        <f t="shared" si="1"/>
        <v>2797</v>
      </c>
      <c r="BI25" s="3">
        <f t="shared" si="2"/>
        <v>24</v>
      </c>
      <c r="BJ25" s="3">
        <f t="shared" si="3"/>
        <v>2821</v>
      </c>
      <c r="BK25" s="3">
        <v>2300</v>
      </c>
      <c r="BL25" s="3">
        <v>0</v>
      </c>
      <c r="BM25" s="3">
        <v>2300</v>
      </c>
      <c r="BN25" s="3">
        <v>690</v>
      </c>
      <c r="BO25" s="3">
        <v>0</v>
      </c>
      <c r="BP25" s="3">
        <v>690</v>
      </c>
      <c r="BQ25" s="3">
        <v>0</v>
      </c>
      <c r="BR25" s="3">
        <v>0</v>
      </c>
      <c r="BS25" s="3">
        <v>0</v>
      </c>
      <c r="BT25" s="3">
        <f t="shared" si="10"/>
        <v>2990</v>
      </c>
      <c r="BU25" s="3">
        <f t="shared" si="11"/>
        <v>0</v>
      </c>
      <c r="BV25" s="3">
        <f t="shared" si="12"/>
        <v>2990</v>
      </c>
      <c r="BW25" s="3">
        <f t="shared" si="4"/>
        <v>23382</v>
      </c>
      <c r="BX25" s="3">
        <f t="shared" si="5"/>
        <v>750</v>
      </c>
      <c r="BY25" s="3">
        <f t="shared" si="6"/>
        <v>24132</v>
      </c>
      <c r="BZ25" s="3">
        <f t="shared" si="13"/>
        <v>280584</v>
      </c>
      <c r="CA25" s="3">
        <f t="shared" si="13"/>
        <v>9000</v>
      </c>
      <c r="CB25" s="3">
        <f t="shared" si="13"/>
        <v>289584</v>
      </c>
      <c r="CC25" s="3">
        <f t="shared" si="14"/>
        <v>9000</v>
      </c>
      <c r="CD25" s="3">
        <v>15999</v>
      </c>
      <c r="CE25" s="3">
        <v>721</v>
      </c>
      <c r="CF25" s="3">
        <v>16720</v>
      </c>
      <c r="CG25" s="3">
        <v>1283</v>
      </c>
      <c r="CH25" s="3">
        <v>0</v>
      </c>
      <c r="CI25" s="3">
        <v>1283</v>
      </c>
      <c r="CJ25" s="3">
        <v>200</v>
      </c>
      <c r="CK25" s="3">
        <v>0</v>
      </c>
      <c r="CL25" s="3">
        <v>200</v>
      </c>
      <c r="CM25" s="3">
        <v>112</v>
      </c>
      <c r="CN25" s="3">
        <v>5</v>
      </c>
      <c r="CO25" s="3">
        <v>117</v>
      </c>
    </row>
    <row r="26" spans="1:93" x14ac:dyDescent="0.25">
      <c r="A26" s="5" t="s">
        <v>120</v>
      </c>
      <c r="B26" s="6" t="s">
        <v>146</v>
      </c>
      <c r="C26" s="7" t="s">
        <v>148</v>
      </c>
      <c r="D26" s="8" t="s">
        <v>150</v>
      </c>
      <c r="E26" s="3"/>
      <c r="F26" s="3"/>
      <c r="G26" s="3"/>
      <c r="H26" s="3"/>
      <c r="I26" s="3"/>
      <c r="J26" s="3"/>
      <c r="K26" s="9">
        <v>24948</v>
      </c>
      <c r="L26" s="3"/>
      <c r="M26" s="3"/>
      <c r="N26" s="3" t="s">
        <v>93</v>
      </c>
      <c r="O26" s="3" t="s">
        <v>94</v>
      </c>
      <c r="P26" s="3"/>
      <c r="Q26" s="3"/>
      <c r="R26" s="3"/>
      <c r="S26" s="3"/>
      <c r="T26" s="3">
        <v>0</v>
      </c>
      <c r="U26" s="3">
        <v>7000</v>
      </c>
      <c r="V26" s="3">
        <v>0</v>
      </c>
      <c r="W26" s="3">
        <v>7000</v>
      </c>
      <c r="X26" s="3">
        <v>5500</v>
      </c>
      <c r="Y26" s="3">
        <v>1114</v>
      </c>
      <c r="Z26" s="3">
        <v>6614</v>
      </c>
      <c r="AA26" s="3">
        <v>800</v>
      </c>
      <c r="AB26" s="3">
        <v>0</v>
      </c>
      <c r="AC26" s="3">
        <v>800</v>
      </c>
      <c r="AD26" s="3">
        <v>1600</v>
      </c>
      <c r="AE26" s="3">
        <v>0</v>
      </c>
      <c r="AF26" s="3">
        <v>1600</v>
      </c>
      <c r="AG26" s="3">
        <v>2890</v>
      </c>
      <c r="AH26" s="3">
        <v>0</v>
      </c>
      <c r="AI26" s="3">
        <v>2890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f t="shared" si="7"/>
        <v>17790</v>
      </c>
      <c r="AQ26" s="3">
        <f t="shared" si="8"/>
        <v>1114</v>
      </c>
      <c r="AR26" s="3">
        <f t="shared" si="9"/>
        <v>18904</v>
      </c>
      <c r="AS26" s="3">
        <v>1598</v>
      </c>
      <c r="AT26" s="3">
        <v>0</v>
      </c>
      <c r="AU26" s="3">
        <v>1598</v>
      </c>
      <c r="AV26" s="3">
        <v>500</v>
      </c>
      <c r="AW26" s="3">
        <v>36</v>
      </c>
      <c r="AX26" s="3">
        <v>536</v>
      </c>
      <c r="AY26" s="3">
        <v>337</v>
      </c>
      <c r="AZ26" s="3">
        <v>0</v>
      </c>
      <c r="BA26" s="3">
        <v>337</v>
      </c>
      <c r="BB26" s="3">
        <v>583</v>
      </c>
      <c r="BC26" s="3"/>
      <c r="BD26" s="3">
        <v>583</v>
      </c>
      <c r="BE26" s="8">
        <v>0</v>
      </c>
      <c r="BF26" s="8">
        <f t="shared" si="0"/>
        <v>0</v>
      </c>
      <c r="BG26" s="8">
        <v>0</v>
      </c>
      <c r="BH26" s="3">
        <f t="shared" si="1"/>
        <v>3018</v>
      </c>
      <c r="BI26" s="3">
        <f t="shared" si="2"/>
        <v>36</v>
      </c>
      <c r="BJ26" s="3">
        <f t="shared" si="3"/>
        <v>3054</v>
      </c>
      <c r="BK26" s="3">
        <v>2300</v>
      </c>
      <c r="BL26" s="3">
        <v>0</v>
      </c>
      <c r="BM26" s="3">
        <v>2300</v>
      </c>
      <c r="BN26" s="3">
        <v>690</v>
      </c>
      <c r="BO26" s="3">
        <v>0</v>
      </c>
      <c r="BP26" s="3">
        <v>690</v>
      </c>
      <c r="BQ26" s="3">
        <v>0</v>
      </c>
      <c r="BR26" s="3">
        <v>0</v>
      </c>
      <c r="BS26" s="3">
        <v>0</v>
      </c>
      <c r="BT26" s="3">
        <f t="shared" si="10"/>
        <v>2990</v>
      </c>
      <c r="BU26" s="3">
        <f t="shared" si="11"/>
        <v>0</v>
      </c>
      <c r="BV26" s="3">
        <f t="shared" si="12"/>
        <v>2990</v>
      </c>
      <c r="BW26" s="3">
        <f t="shared" si="4"/>
        <v>23798</v>
      </c>
      <c r="BX26" s="3">
        <f t="shared" si="5"/>
        <v>1150</v>
      </c>
      <c r="BY26" s="3">
        <f t="shared" si="6"/>
        <v>24948</v>
      </c>
      <c r="BZ26" s="3">
        <f t="shared" si="13"/>
        <v>285576</v>
      </c>
      <c r="CA26" s="3">
        <f t="shared" si="13"/>
        <v>13800</v>
      </c>
      <c r="CB26" s="3">
        <f t="shared" si="13"/>
        <v>299376</v>
      </c>
      <c r="CC26" s="3">
        <f t="shared" si="14"/>
        <v>13800</v>
      </c>
      <c r="CD26" s="3">
        <v>16000</v>
      </c>
      <c r="CE26" s="3">
        <v>1106</v>
      </c>
      <c r="CF26" s="3">
        <v>17106</v>
      </c>
      <c r="CG26" s="3">
        <v>1475</v>
      </c>
      <c r="CH26" s="3">
        <v>0</v>
      </c>
      <c r="CI26" s="3">
        <v>1475</v>
      </c>
      <c r="CJ26" s="3">
        <v>200</v>
      </c>
      <c r="CK26" s="3">
        <v>0</v>
      </c>
      <c r="CL26" s="3">
        <v>200</v>
      </c>
      <c r="CM26" s="3">
        <v>115</v>
      </c>
      <c r="CN26" s="3">
        <v>8</v>
      </c>
      <c r="CO26" s="3">
        <v>123</v>
      </c>
    </row>
    <row r="27" spans="1:93" x14ac:dyDescent="0.25">
      <c r="A27" s="5" t="s">
        <v>121</v>
      </c>
      <c r="B27" s="6" t="s">
        <v>147</v>
      </c>
      <c r="C27" s="7" t="s">
        <v>148</v>
      </c>
      <c r="D27" s="8" t="s">
        <v>150</v>
      </c>
      <c r="E27" s="3"/>
      <c r="F27" s="3"/>
      <c r="G27" s="3"/>
      <c r="H27" s="3"/>
      <c r="I27" s="3"/>
      <c r="J27" s="3"/>
      <c r="K27" s="9">
        <v>26522</v>
      </c>
      <c r="L27" s="3"/>
      <c r="M27" s="3"/>
      <c r="N27" s="3" t="s">
        <v>93</v>
      </c>
      <c r="O27" s="3" t="s">
        <v>94</v>
      </c>
      <c r="P27" s="3"/>
      <c r="Q27" s="3"/>
      <c r="R27" s="3"/>
      <c r="S27" s="3"/>
      <c r="T27" s="3">
        <v>0</v>
      </c>
      <c r="U27" s="3">
        <v>6000</v>
      </c>
      <c r="V27" s="3">
        <v>0</v>
      </c>
      <c r="W27" s="3">
        <v>6000</v>
      </c>
      <c r="X27" s="3">
        <v>5500</v>
      </c>
      <c r="Y27" s="3">
        <v>1451</v>
      </c>
      <c r="Z27" s="3">
        <v>6951</v>
      </c>
      <c r="AA27" s="3">
        <v>1000</v>
      </c>
      <c r="AB27" s="3">
        <v>0</v>
      </c>
      <c r="AC27" s="3">
        <v>1000</v>
      </c>
      <c r="AD27" s="3">
        <v>1600</v>
      </c>
      <c r="AE27" s="3">
        <v>0</v>
      </c>
      <c r="AF27" s="3">
        <v>1600</v>
      </c>
      <c r="AG27" s="3">
        <v>4863</v>
      </c>
      <c r="AH27" s="3">
        <v>0</v>
      </c>
      <c r="AI27" s="3">
        <v>4863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f t="shared" si="7"/>
        <v>18963</v>
      </c>
      <c r="AQ27" s="3">
        <f t="shared" si="8"/>
        <v>1451</v>
      </c>
      <c r="AR27" s="3">
        <f t="shared" si="9"/>
        <v>20414</v>
      </c>
      <c r="AS27" s="3">
        <v>1750</v>
      </c>
      <c r="AT27" s="3">
        <v>0</v>
      </c>
      <c r="AU27" s="3">
        <v>1750</v>
      </c>
      <c r="AV27" s="3">
        <v>532</v>
      </c>
      <c r="AW27" s="3">
        <v>47</v>
      </c>
      <c r="AX27" s="3">
        <v>579</v>
      </c>
      <c r="AY27" s="3">
        <v>289</v>
      </c>
      <c r="AZ27" s="3">
        <v>0</v>
      </c>
      <c r="BA27" s="3">
        <v>289</v>
      </c>
      <c r="BB27" s="3">
        <v>500</v>
      </c>
      <c r="BC27" s="3"/>
      <c r="BD27" s="3">
        <v>500</v>
      </c>
      <c r="BE27" s="8">
        <v>0</v>
      </c>
      <c r="BF27" s="8">
        <f t="shared" si="0"/>
        <v>0</v>
      </c>
      <c r="BG27" s="8">
        <v>0</v>
      </c>
      <c r="BH27" s="3">
        <f t="shared" si="1"/>
        <v>3071</v>
      </c>
      <c r="BI27" s="3">
        <f t="shared" si="2"/>
        <v>47</v>
      </c>
      <c r="BJ27" s="3">
        <f t="shared" si="3"/>
        <v>3118</v>
      </c>
      <c r="BK27" s="3">
        <v>2300</v>
      </c>
      <c r="BL27" s="3">
        <v>0</v>
      </c>
      <c r="BM27" s="3">
        <v>2300</v>
      </c>
      <c r="BN27" s="3">
        <v>690</v>
      </c>
      <c r="BO27" s="3">
        <v>0</v>
      </c>
      <c r="BP27" s="3">
        <v>690</v>
      </c>
      <c r="BQ27" s="3">
        <v>0</v>
      </c>
      <c r="BR27" s="3">
        <v>0</v>
      </c>
      <c r="BS27" s="3">
        <v>0</v>
      </c>
      <c r="BT27" s="3">
        <f t="shared" si="10"/>
        <v>2990</v>
      </c>
      <c r="BU27" s="3">
        <f t="shared" si="11"/>
        <v>0</v>
      </c>
      <c r="BV27" s="3">
        <f t="shared" si="12"/>
        <v>2990</v>
      </c>
      <c r="BW27" s="3">
        <f t="shared" si="4"/>
        <v>25024</v>
      </c>
      <c r="BX27" s="3">
        <f t="shared" si="5"/>
        <v>1498</v>
      </c>
      <c r="BY27" s="3">
        <f t="shared" si="6"/>
        <v>26522</v>
      </c>
      <c r="BZ27" s="3">
        <f t="shared" si="13"/>
        <v>300288</v>
      </c>
      <c r="CA27" s="3">
        <f t="shared" si="13"/>
        <v>17976</v>
      </c>
      <c r="CB27" s="3">
        <f t="shared" si="13"/>
        <v>318264</v>
      </c>
      <c r="CC27" s="3">
        <f t="shared" si="14"/>
        <v>17976</v>
      </c>
      <c r="CD27" s="3">
        <v>17025</v>
      </c>
      <c r="CE27" s="3">
        <v>1440</v>
      </c>
      <c r="CF27" s="3">
        <v>18465</v>
      </c>
      <c r="CG27" s="3">
        <v>1616</v>
      </c>
      <c r="CH27" s="3">
        <v>0</v>
      </c>
      <c r="CI27" s="3">
        <v>1616</v>
      </c>
      <c r="CJ27" s="3">
        <v>200</v>
      </c>
      <c r="CK27" s="3">
        <v>0</v>
      </c>
      <c r="CL27" s="3">
        <v>200</v>
      </c>
      <c r="CM27" s="3">
        <v>123</v>
      </c>
      <c r="CN27" s="3">
        <v>11</v>
      </c>
      <c r="CO27" s="3">
        <v>134</v>
      </c>
    </row>
    <row r="28" spans="1:93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>
        <v>0</v>
      </c>
      <c r="CN28" s="3"/>
      <c r="CO28" s="3"/>
    </row>
    <row r="29" spans="1:93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</row>
    <row r="30" spans="1:93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</row>
    <row r="31" spans="1:93" ht="1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</row>
    <row r="32" spans="1:93" ht="1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</row>
    <row r="33" spans="1:93" ht="1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</row>
    <row r="34" spans="1:93" ht="1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</row>
    <row r="35" spans="1:93" ht="1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</row>
    <row r="36" spans="1:93" ht="1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</row>
    <row r="37" spans="1:93" ht="1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</row>
    <row r="38" spans="1:93" ht="1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</row>
    <row r="39" spans="1:93" ht="1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</row>
    <row r="40" spans="1:93" ht="1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</row>
    <row r="41" spans="1:93" ht="1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</row>
    <row r="42" spans="1:93" ht="1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</row>
    <row r="43" spans="1:93" ht="1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</row>
    <row r="44" spans="1:93" ht="1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</row>
    <row r="45" spans="1:93" ht="1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</row>
    <row r="46" spans="1:93" ht="1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</row>
    <row r="47" spans="1:93" ht="1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</row>
    <row r="48" spans="1:93" ht="1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4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</row>
    <row r="49" spans="1:93" ht="1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4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</row>
    <row r="50" spans="1:93" ht="1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</row>
    <row r="51" spans="1:93" ht="1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</row>
    <row r="52" spans="1:93" ht="1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</row>
    <row r="53" spans="1:93" ht="1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</row>
    <row r="54" spans="1:9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</row>
    <row r="55" spans="1:93" ht="1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</row>
    <row r="56" spans="1:93" ht="1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</row>
    <row r="57" spans="1:93" ht="1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</row>
    <row r="58" spans="1:93" ht="1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</row>
    <row r="59" spans="1:93" ht="1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</row>
    <row r="60" spans="1:93" ht="1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</row>
    <row r="61" spans="1:93" ht="1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</row>
    <row r="62" spans="1:93" ht="1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</row>
    <row r="63" spans="1:93" ht="1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</row>
    <row r="64" spans="1:93" ht="1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</row>
    <row r="65" spans="1:93" ht="1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</row>
    <row r="66" spans="1:93" ht="1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</row>
    <row r="67" spans="1:93" ht="1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</row>
    <row r="68" spans="1:93" ht="1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</row>
    <row r="69" spans="1:93" ht="1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</row>
    <row r="70" spans="1:93" ht="1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4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</row>
    <row r="71" spans="1:93" ht="1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</row>
    <row r="72" spans="1:93" ht="1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</row>
    <row r="73" spans="1:93" ht="1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</row>
    <row r="74" spans="1:93" ht="1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</row>
    <row r="75" spans="1:93" ht="1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</row>
    <row r="76" spans="1:93" ht="1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</row>
    <row r="77" spans="1:93" ht="1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</row>
    <row r="78" spans="1:93" ht="1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</row>
    <row r="79" spans="1:93" ht="1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</row>
    <row r="80" spans="1:93" ht="1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</row>
    <row r="81" spans="1:93" ht="1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</row>
    <row r="82" spans="1:93" ht="1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</row>
    <row r="83" spans="1:93" ht="1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</row>
    <row r="84" spans="1:93" ht="1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</row>
    <row r="85" spans="1:93" ht="1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</row>
    <row r="86" spans="1:93" ht="1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</row>
    <row r="87" spans="1:93" ht="1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</row>
    <row r="88" spans="1:93" ht="1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</row>
    <row r="89" spans="1:93" ht="1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</row>
    <row r="90" spans="1:93" ht="1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</row>
    <row r="91" spans="1:93" ht="1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</row>
    <row r="92" spans="1:93" ht="1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</row>
    <row r="93" spans="1:93" ht="1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</row>
    <row r="94" spans="1:93" ht="1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</row>
    <row r="95" spans="1:93" ht="1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</row>
    <row r="96" spans="1:93" ht="1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</row>
    <row r="97" spans="1:93" ht="1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</row>
    <row r="98" spans="1:93" ht="1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</row>
    <row r="99" spans="1:93" ht="1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</row>
    <row r="100" spans="1:93" ht="1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</row>
    <row r="101" spans="1:93" ht="1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</row>
    <row r="102" spans="1:93" ht="1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</row>
    <row r="103" spans="1:93" ht="1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</row>
    <row r="104" spans="1:93" ht="1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</row>
    <row r="105" spans="1:93" ht="1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</row>
    <row r="106" spans="1:93" ht="1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</row>
    <row r="107" spans="1:93" ht="1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</row>
    <row r="108" spans="1:93" ht="1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</row>
    <row r="109" spans="1:93" ht="1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</row>
    <row r="110" spans="1:93" ht="1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</row>
    <row r="111" spans="1:93" ht="1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</row>
    <row r="112" spans="1:93" ht="1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</row>
    <row r="113" spans="1:93" ht="1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</row>
  </sheetData>
  <conditionalFormatting sqref="A2:A27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Bhavna Joshi</dc:creator>
  <cp:keywords/>
  <dc:description/>
  <cp:lastModifiedBy>Sudhir Kakde</cp:lastModifiedBy>
  <cp:revision/>
  <dcterms:created xsi:type="dcterms:W3CDTF">2023-07-18T13:56:28Z</dcterms:created>
  <dcterms:modified xsi:type="dcterms:W3CDTF">2025-01-11T11:51:08Z</dcterms:modified>
  <cp:category/>
  <cp:contentStatus/>
</cp:coreProperties>
</file>