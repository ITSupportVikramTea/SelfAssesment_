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4ABF0D0D-73A9-4762-AAD2-9FB014DE4E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V49" i="1" l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7" i="1"/>
  <c r="BU7" i="1"/>
  <c r="BT7" i="1"/>
  <c r="BV6" i="1"/>
  <c r="BU6" i="1"/>
  <c r="BT6" i="1"/>
  <c r="BV5" i="1"/>
  <c r="BU5" i="1"/>
  <c r="BT5" i="1"/>
  <c r="BV4" i="1"/>
  <c r="BU4" i="1"/>
  <c r="BT4" i="1"/>
  <c r="BV3" i="1"/>
  <c r="BU3" i="1"/>
  <c r="BT3" i="1"/>
  <c r="BV2" i="1"/>
  <c r="BU2" i="1"/>
  <c r="BT2" i="1"/>
</calcChain>
</file>

<file path=xl/sharedStrings.xml><?xml version="1.0" encoding="utf-8"?>
<sst xmlns="http://schemas.openxmlformats.org/spreadsheetml/2006/main" count="622" uniqueCount="254">
  <si>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</si>
  <si>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</si>
  <si>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</si>
  <si>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</si>
  <si>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</si>
  <si>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</si>
  <si>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</si>
  <si>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</si>
  <si>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</si>
  <si>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</si>
  <si>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</si>
  <si>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</si>
  <si>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</si>
  <si>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</si>
  <si>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</si>
  <si>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</si>
  <si>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</si>
  <si>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</si>
  <si>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</si>
  <si>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</si>
  <si>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</si>
  <si>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</si>
  <si>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</si>
  <si>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</si>
  <si>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</si>
  <si>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</si>
  <si>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</si>
  <si>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</si>
  <si>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</si>
  <si>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</si>
  <si>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</si>
  <si>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</si>
  <si>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</si>
  <si>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</si>
  <si>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</si>
  <si>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</si>
  <si>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</si>
  <si>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</si>
  <si>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</si>
  <si>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</si>
  <si>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</si>
  <si>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</si>
  <si>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</si>
  <si>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</si>
  <si>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</si>
  <si>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</si>
  <si>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</si>
  <si>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</si>
  <si>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</si>
  <si>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</si>
  <si>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</si>
  <si>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</si>
  <si>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</si>
  <si>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</si>
  <si>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</si>
  <si>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</si>
  <si>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</si>
  <si>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</si>
  <si>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</si>
  <si>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</si>
  <si>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</si>
  <si>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</si>
  <si>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</si>
  <si>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</si>
  <si>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</si>
  <si>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</si>
  <si>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</si>
  <si>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</si>
  <si>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</si>
  <si>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</si>
  <si>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</si>
  <si>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</si>
  <si>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</si>
  <si>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</si>
  <si>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</si>
  <si>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</si>
  <si>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</si>
  <si>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</si>
  <si>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</si>
  <si>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</si>
  <si>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</si>
  <si>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</si>
  <si>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</si>
  <si>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</si>
  <si>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</si>
  <si>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</si>
  <si>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</si>
  <si>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</si>
  <si>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</si>
  <si>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</si>
  <si>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</si>
  <si>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</si>
  <si>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</si>
  <si>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</si>
  <si>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Mr.</t>
  </si>
  <si>
    <t>Very Good</t>
  </si>
  <si>
    <t>Remarkable</t>
  </si>
  <si>
    <t>Average</t>
  </si>
  <si>
    <t>HR-EMP-00474</t>
  </si>
  <si>
    <t>HR-EMP-00607</t>
  </si>
  <si>
    <t>HR-EMP-00640</t>
  </si>
  <si>
    <t>HR-EMP-00699</t>
  </si>
  <si>
    <t>HR-EMP-00757</t>
  </si>
  <si>
    <t>HR-EMP-01155</t>
  </si>
  <si>
    <t>HR-EMP-01243</t>
  </si>
  <si>
    <t>HR-EMP-01374</t>
  </si>
  <si>
    <t>HR-EMP-01449</t>
  </si>
  <si>
    <t>HR-EMP-01468</t>
  </si>
  <si>
    <t>HR-EMP-01502</t>
  </si>
  <si>
    <t>HR-EMP-01528</t>
  </si>
  <si>
    <t>HR-EMP-01546</t>
  </si>
  <si>
    <t>HR-EMP-01602</t>
  </si>
  <si>
    <t>HR-EMP-00762</t>
  </si>
  <si>
    <t>HR-EMP-01609</t>
  </si>
  <si>
    <t>HR-EMP-01616</t>
  </si>
  <si>
    <t>HR-EMP-01697</t>
  </si>
  <si>
    <t>HR-EMP-01714</t>
  </si>
  <si>
    <t>HR-EMP-01748</t>
  </si>
  <si>
    <t>HR-EMP-01792</t>
  </si>
  <si>
    <t>HR-EMP-01813</t>
  </si>
  <si>
    <t>HR-EMP-01817</t>
  </si>
  <si>
    <t>HR-EMP-01819</t>
  </si>
  <si>
    <t>HR-EMP-01816</t>
  </si>
  <si>
    <t>HR-EMP-00575</t>
  </si>
  <si>
    <t>HR-EMP-24-25-00050</t>
  </si>
  <si>
    <t>HR-EMP-24-25-00072</t>
  </si>
  <si>
    <t>HR-EMP-24-25-00098</t>
  </si>
  <si>
    <t>HR-EMP-24-25-00117</t>
  </si>
  <si>
    <t>HR-EMP-24-25-00125</t>
  </si>
  <si>
    <t>HR-EMP-24-25-00147</t>
  </si>
  <si>
    <t>HR-EMP-24-25-00150</t>
  </si>
  <si>
    <t>HR-EMP-24-25-00160</t>
  </si>
  <si>
    <t>HR-EMP-24-25-00156</t>
  </si>
  <si>
    <t>HR-EMP-24-25-00167</t>
  </si>
  <si>
    <t>HR-EMP-24-25-00175</t>
  </si>
  <si>
    <t>HR-EMP-24-25-00177</t>
  </si>
  <si>
    <t>HR-EMP-24-25-00202</t>
  </si>
  <si>
    <t>HR-EMP-24-25-00206</t>
  </si>
  <si>
    <t>HR-EMP-24-25-00207</t>
  </si>
  <si>
    <t>HR-EMP-24-25-00213</t>
  </si>
  <si>
    <t>HR-EMP-24-25-00214</t>
  </si>
  <si>
    <t>HR-EMP-24-25-00218</t>
  </si>
  <si>
    <t>HR-EMP-24-25-00232</t>
  </si>
  <si>
    <t>HR-EMP-24-25-00227</t>
  </si>
  <si>
    <t>HR-EMP-24-25-00230</t>
  </si>
  <si>
    <t>HR-EMP-24-25-00231</t>
  </si>
  <si>
    <t>MAHESH SURESH POKHARNA</t>
  </si>
  <si>
    <t>DEVANAND SINGH VIJAY SINGH RAJPUT</t>
  </si>
  <si>
    <t>KOMMURI UMAMAHESWARA RAO</t>
  </si>
  <si>
    <t>SHUBHAM VILAS SASANE</t>
  </si>
  <si>
    <t>AKSHAY CHANDRAKANT AHIRE</t>
  </si>
  <si>
    <t>ANANT VASANT JADHAV</t>
  </si>
  <si>
    <t>SHRIVASTAV ANANDKUMAR</t>
  </si>
  <si>
    <t>VENKATESHA K M</t>
  </si>
  <si>
    <t>FARHAN KHAN C K</t>
  </si>
  <si>
    <t>HEMANT NILKANTH SURYAVANSHI</t>
  </si>
  <si>
    <t>SATYAJIT SWAIN</t>
  </si>
  <si>
    <t>ARIF AHMED M BALSING</t>
  </si>
  <si>
    <t>ASHISH YASHWANTRAO ITANKAR</t>
  </si>
  <si>
    <t>SAKHARAM GAJANAN PALAV</t>
  </si>
  <si>
    <t>VINOD KUMAR BRIJNATJ YADAV</t>
  </si>
  <si>
    <t>DIPAK BHOJRAJ PARDHI</t>
  </si>
  <si>
    <t>CHANDRAKANT PRABHAKAR DESHMUKH</t>
  </si>
  <si>
    <t>SOMNATH RAMDAS KHEDKAR(Rejoin)</t>
  </si>
  <si>
    <t>MANOJKYUMAR VIJAYKUMAR</t>
  </si>
  <si>
    <t>SHARATH K</t>
  </si>
  <si>
    <t>MAHADEV NAMDEV MANE</t>
  </si>
  <si>
    <t>PRABU</t>
  </si>
  <si>
    <t>DIPESH GURUNATH MANJARE</t>
  </si>
  <si>
    <t>MUCHETI JAGADESWARARAO</t>
  </si>
  <si>
    <t>RAGHUNATH BISWAL</t>
  </si>
  <si>
    <t>SHRIDHAR SADASHIV GEJAGE</t>
  </si>
  <si>
    <t>KAMAL HARILAL PAREKH</t>
  </si>
  <si>
    <t>ANIL JAIN</t>
  </si>
  <si>
    <t>ROHIT SADANAND GOLE</t>
  </si>
  <si>
    <t>SHREEKANTA MOHAPATRA</t>
  </si>
  <si>
    <t>Omkar Ravindra Rawool</t>
  </si>
  <si>
    <t>DHARMARAJ EKNATH AAHIRE</t>
  </si>
  <si>
    <t>VISHAL DINKAR SONAWANE</t>
  </si>
  <si>
    <t>SAGAR PURUSHOTTAM SAHADEOKAR</t>
  </si>
  <si>
    <t>JAGDISH BHIKA SONAR</t>
  </si>
  <si>
    <t>BIRANCHI NARAYAN MOHAPATRA</t>
  </si>
  <si>
    <t>ASHUTOSH SUBHASH PATMASE</t>
  </si>
  <si>
    <t>SITARAM TRIPATHY</t>
  </si>
  <si>
    <t>ARUNESH ARUN KHOT</t>
  </si>
  <si>
    <t>AKASH PRAKASH RAWOOL</t>
  </si>
  <si>
    <t>MATIN RAJJAK BAGWAN</t>
  </si>
  <si>
    <t>RAMESH DAMODAR GONBARE</t>
  </si>
  <si>
    <t>SHRINIVAS MADHURE</t>
  </si>
  <si>
    <t>G PRASHANTH</t>
  </si>
  <si>
    <t>MANSURI AASIFBHAI</t>
  </si>
  <si>
    <t>KUBAVAT HARSH DILIPBHAI</t>
  </si>
  <si>
    <t>LAKSHMISHA K P</t>
  </si>
  <si>
    <t>MOHAMMAD ARIF TALI</t>
  </si>
  <si>
    <t>Sales - VTPPL</t>
  </si>
  <si>
    <t>Territory Sales Executive</t>
  </si>
  <si>
    <t>Sales Officer</t>
  </si>
  <si>
    <t>Area Sales Executive</t>
  </si>
  <si>
    <t>Sales Representative</t>
  </si>
  <si>
    <t>Office Boy</t>
  </si>
  <si>
    <t>Area Sales Manager</t>
  </si>
  <si>
    <t>Good</t>
  </si>
  <si>
    <t>Excellent</t>
  </si>
  <si>
    <t>Director -Sales</t>
  </si>
  <si>
    <t>maheshgttpl@gmail.com</t>
  </si>
  <si>
    <t>devanandraj109@gmail.com</t>
  </si>
  <si>
    <t>umamahesh.kommuri@gmail.com</t>
  </si>
  <si>
    <t>sasane.s@yahoo.com</t>
  </si>
  <si>
    <t>Akshayahire0041@gmail.com</t>
  </si>
  <si>
    <t>anantaj752@gmail.com</t>
  </si>
  <si>
    <t>shrivastavanand82@gmail.com</t>
  </si>
  <si>
    <t>venki9341@gmail.com</t>
  </si>
  <si>
    <t>farhankhan17865@gmail.com</t>
  </si>
  <si>
    <t>hemantsuryavanshi2@gmail.com</t>
  </si>
  <si>
    <t>swainsatyajit062@gmail.com</t>
  </si>
  <si>
    <t>arifahmedbalsing3002@gmail.com</t>
  </si>
  <si>
    <t>itankarm41@gmail.com</t>
  </si>
  <si>
    <t>palavsakharam123@gmail.com</t>
  </si>
  <si>
    <t>vkyadav806062@gmail.com</t>
  </si>
  <si>
    <t>dipakpardhi35@gmail.com</t>
  </si>
  <si>
    <t>chandrakantdnaviso@gmail.com</t>
  </si>
  <si>
    <t>dr.saiss22@gmail.com</t>
  </si>
  <si>
    <t>manojkumar4u0213@gmail.com</t>
  </si>
  <si>
    <t>sharathknavele@gmail.com</t>
  </si>
  <si>
    <t>mahadevmane7709@gmail.com</t>
  </si>
  <si>
    <t>prabhudgl1985@gmail.com</t>
  </si>
  <si>
    <t>dipeshmanjare20@gmail.com</t>
  </si>
  <si>
    <t>gudlasivani@gmail.com</t>
  </si>
  <si>
    <t>badalbiswal084@gmail.com</t>
  </si>
  <si>
    <t>shridhar.spice@gmail.com</t>
  </si>
  <si>
    <t>kamalparekh027@gmail.com</t>
  </si>
  <si>
    <t>jain.anil2002.g@gmail.com</t>
  </si>
  <si>
    <t>golerohit1@gmail.com</t>
  </si>
  <si>
    <t>shreekantmohapatra1976@gmail.com</t>
  </si>
  <si>
    <t>rawoolom22@gmail.com</t>
  </si>
  <si>
    <t>ahirepapu445@gmail.com</t>
  </si>
  <si>
    <t>vishalsonawane60373@gmail.com</t>
  </si>
  <si>
    <t>sagar.purushottam.sahadeokar@gmail.com</t>
  </si>
  <si>
    <t>jagdishsonar51@gmail.com</t>
  </si>
  <si>
    <t>biranchimohapatra81@gmail.com</t>
  </si>
  <si>
    <t>ashutoshpatmase@gmail.com</t>
  </si>
  <si>
    <t>sitaramlala7@gmail.com</t>
  </si>
  <si>
    <t>aruneshkhot@gmail.com</t>
  </si>
  <si>
    <t>akashrawool7@gmail.com</t>
  </si>
  <si>
    <t>matin.r.bagwan@gmail.com</t>
  </si>
  <si>
    <t>ramesh.gonbare.05@gmail.com</t>
  </si>
  <si>
    <t>shrinivas.madhure@gmail.com</t>
  </si>
  <si>
    <t>gprashant_c@rediffmail.com</t>
  </si>
  <si>
    <t>asifmansuri658@gmail.com</t>
  </si>
  <si>
    <t>harshkubavat25@gmail.com</t>
  </si>
  <si>
    <t>lakshmishgubbi1995@gmail.com</t>
  </si>
  <si>
    <t>taliarif793@gmail.com</t>
  </si>
  <si>
    <t>maithili.kadam@vikramtea.com</t>
  </si>
  <si>
    <t>Shishir R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</si>
</sst>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0" borderId="0" xfId="0" applyFont="1"/>
    <xf numFmtId="1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left" wrapText="1"/>
    </xf>
    <xf numFmtId="1" fontId="4" fillId="0" borderId="1" xfId="2" applyNumberFormat="1" applyFont="1" applyBorder="1" applyAlignment="1">
      <alignment horizontal="left"/>
    </xf>
    <xf numFmtId="1" fontId="4" fillId="0" borderId="1" xfId="2" applyNumberFormat="1" applyFont="1" applyBorder="1" applyAlignment="1">
      <alignment horizontal="left" vertical="center"/>
    </xf>
    <xf numFmtId="9" fontId="3" fillId="0" borderId="0" xfId="1" applyFont="1" applyFill="1"/>
    <xf numFmtId="9" fontId="3" fillId="0" borderId="0" xfId="1" applyFont="1" applyFill="1" applyAlignment="1">
      <alignment horizontal="center" vertical="center"/>
    </xf>
    <xf numFmtId="0" fontId="3" fillId="0" borderId="1" xfId="0" applyFont="1" applyBorder="1"/>
    <xf numFmtId="1" fontId="3" fillId="0" borderId="1" xfId="2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3" fillId="0" borderId="2" xfId="2" applyNumberFormat="1" applyFont="1" applyBorder="1" applyAlignment="1">
      <alignment horizontal="left"/>
    </xf>
    <xf numFmtId="1" fontId="3" fillId="0" borderId="0" xfId="0" applyNumberFormat="1" applyFont="1"/>
  </cellXfs>
  <cellStyles count="3">
    <cellStyle name="Normal" xfId="0" builtinId="0"/>
    <cellStyle name="Normal 4 2 2" xfId="2" xr:uid="{647700D6-BA0E-4151-9022-CE4FF906E2FA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69"/>
  <sheetViews>
    <sheetView tabSelected="1" workbookViewId="0">
      <pane xSplit="4" ySplit="1" topLeftCell="BP2" activePane="bottomRight" state="frozen"/>
      <selection pane="topRight" activeCell="E1" sqref="E1"/>
      <selection pane="bottomLeft" activeCell="A2" sqref="A2"/>
      <selection pane="bottomRight" activeCell="BR16" sqref="BR16"/>
    </sheetView>
  </sheetViews>
  <sheetFormatPr defaultColWidth="9.109375" defaultRowHeight="12" x14ac:dyDescent="0.25"/>
  <cols>
    <col min="1" max="1" width="12" style="1" bestFit="1" customWidth="1"/>
    <col min="2" max="2" width="31.109375" style="1" bestFit="1" customWidth="1"/>
    <col min="3" max="3" width="11" style="1" bestFit="1" customWidth="1"/>
    <col min="4" max="4" width="20" style="1" bestFit="1" customWidth="1"/>
    <col min="5" max="5" width="14.5546875" style="1" bestFit="1" customWidth="1"/>
    <col min="6" max="6" width="17.88671875" style="1" bestFit="1" customWidth="1"/>
    <col min="7" max="7" width="9.44140625" style="1" bestFit="1" customWidth="1"/>
    <col min="8" max="8" width="8.88671875" style="1" bestFit="1" customWidth="1"/>
    <col min="9" max="9" width="10.44140625" style="1" bestFit="1" customWidth="1"/>
    <col min="10" max="10" width="14.109375" style="1" bestFit="1" customWidth="1"/>
    <col min="11" max="11" width="11.5546875" style="1" bestFit="1" customWidth="1"/>
    <col min="12" max="12" width="17.33203125" style="1" bestFit="1" customWidth="1"/>
    <col min="13" max="13" width="12.5546875" style="1" bestFit="1" customWidth="1"/>
    <col min="14" max="14" width="12.33203125" style="1" bestFit="1" customWidth="1"/>
    <col min="15" max="15" width="14.5546875" style="1" bestFit="1" customWidth="1"/>
    <col min="16" max="16" width="35.88671875" style="1" bestFit="1" customWidth="1"/>
    <col min="17" max="17" width="26.44140625" style="1" bestFit="1" customWidth="1"/>
    <col min="18" max="18" width="10.6640625" style="1" bestFit="1" customWidth="1"/>
    <col min="19" max="19" width="4.6640625" style="1" bestFit="1" customWidth="1"/>
    <col min="20" max="20" width="14.33203125" style="1" bestFit="1" customWidth="1"/>
    <col min="21" max="21" width="5.33203125" style="1" bestFit="1" customWidth="1"/>
    <col min="22" max="22" width="7.88671875" style="1" bestFit="1" customWidth="1"/>
    <col min="23" max="23" width="11.6640625" style="1" bestFit="1" customWidth="1"/>
    <col min="24" max="24" width="5.33203125" style="1" bestFit="1" customWidth="1"/>
    <col min="25" max="25" width="6.88671875" style="1" bestFit="1" customWidth="1"/>
    <col min="26" max="26" width="10.6640625" style="1" bestFit="1" customWidth="1"/>
    <col min="27" max="27" width="6.33203125" style="1" bestFit="1" customWidth="1"/>
    <col min="28" max="28" width="10" style="1" bestFit="1" customWidth="1"/>
    <col min="29" max="29" width="15.33203125" style="1" bestFit="1" customWidth="1"/>
    <col min="30" max="30" width="5" style="1" bestFit="1" customWidth="1"/>
    <col min="31" max="31" width="7.33203125" style="1" bestFit="1" customWidth="1"/>
    <col min="32" max="32" width="8.33203125" style="1" bestFit="1" customWidth="1"/>
    <col min="33" max="33" width="5.33203125" style="1" bestFit="1" customWidth="1"/>
    <col min="34" max="34" width="5.5546875" style="1" bestFit="1" customWidth="1"/>
    <col min="35" max="35" width="9.44140625" style="1" bestFit="1" customWidth="1"/>
    <col min="36" max="36" width="6.88671875" style="1" bestFit="1" customWidth="1"/>
    <col min="37" max="37" width="9.5546875" style="1" bestFit="1" customWidth="1"/>
    <col min="38" max="38" width="13.5546875" style="1" bestFit="1" customWidth="1"/>
    <col min="39" max="39" width="3" style="1" bestFit="1" customWidth="1"/>
    <col min="40" max="40" width="5.6640625" style="1" bestFit="1" customWidth="1"/>
    <col min="41" max="41" width="9.5546875" style="1" bestFit="1" customWidth="1"/>
    <col min="42" max="42" width="6.44140625" style="1" bestFit="1" customWidth="1"/>
    <col min="43" max="43" width="9.109375" style="1" bestFit="1" customWidth="1"/>
    <col min="44" max="44" width="13.109375" style="1" bestFit="1" customWidth="1"/>
    <col min="45" max="45" width="4.44140625" style="1" bestFit="1" customWidth="1"/>
    <col min="46" max="46" width="5.44140625" style="1" bestFit="1" customWidth="1"/>
    <col min="47" max="47" width="9.33203125" style="1" bestFit="1" customWidth="1"/>
    <col min="48" max="48" width="4.109375" style="1" bestFit="1" customWidth="1"/>
    <col min="49" max="49" width="6.88671875" style="1" bestFit="1" customWidth="1"/>
    <col min="50" max="50" width="10.6640625" style="1" bestFit="1" customWidth="1"/>
    <col min="51" max="51" width="7.109375" style="1" bestFit="1" customWidth="1"/>
    <col min="52" max="52" width="9.88671875" style="1" bestFit="1" customWidth="1"/>
    <col min="53" max="53" width="13.88671875" style="1" bestFit="1" customWidth="1"/>
    <col min="54" max="54" width="5.88671875" style="1" bestFit="1" customWidth="1"/>
    <col min="55" max="55" width="8.5546875" style="1" bestFit="1" customWidth="1"/>
    <col min="56" max="56" width="12.44140625" style="1" bestFit="1" customWidth="1"/>
    <col min="57" max="57" width="3.5546875" style="1" bestFit="1" customWidth="1"/>
    <col min="58" max="58" width="6.6640625" style="1" bestFit="1" customWidth="1"/>
    <col min="59" max="59" width="10.5546875" style="1" bestFit="1" customWidth="1"/>
    <col min="60" max="60" width="6.33203125" style="1" bestFit="1" customWidth="1"/>
    <col min="61" max="61" width="9" style="1" bestFit="1" customWidth="1"/>
    <col min="62" max="62" width="12.88671875" style="1" bestFit="1" customWidth="1"/>
    <col min="63" max="63" width="6.5546875" style="1" bestFit="1" customWidth="1"/>
    <col min="64" max="64" width="8.5546875" style="1" bestFit="1" customWidth="1"/>
    <col min="65" max="65" width="9.6640625" style="1" bestFit="1" customWidth="1"/>
    <col min="66" max="66" width="16.109375" style="1" bestFit="1" customWidth="1"/>
    <col min="67" max="67" width="18.33203125" style="1" bestFit="1" customWidth="1"/>
    <col min="68" max="68" width="19.44140625" style="1" bestFit="1" customWidth="1"/>
    <col min="69" max="69" width="14.109375" style="1" bestFit="1" customWidth="1"/>
    <col min="70" max="70" width="16.109375" style="1" bestFit="1" customWidth="1"/>
    <col min="71" max="71" width="17.44140625" style="1" bestFit="1" customWidth="1"/>
    <col min="72" max="72" width="6.44140625" style="1" bestFit="1" customWidth="1"/>
    <col min="73" max="73" width="9.109375" style="1" bestFit="1" customWidth="1"/>
    <col min="74" max="74" width="13.109375" style="1" bestFit="1" customWidth="1"/>
    <col min="75" max="75" width="8.33203125" style="1" bestFit="1" customWidth="1"/>
    <col min="76" max="76" width="11" style="1" bestFit="1" customWidth="1"/>
    <col min="77" max="77" width="15" style="1" bestFit="1" customWidth="1"/>
    <col min="78" max="78" width="11.33203125" style="1" bestFit="1" customWidth="1"/>
    <col min="79" max="79" width="14.109375" style="1" bestFit="1" customWidth="1"/>
    <col min="80" max="80" width="18.109375" style="1" bestFit="1" customWidth="1"/>
    <col min="81" max="81" width="20" style="1" bestFit="1" customWidth="1"/>
    <col min="82" max="82" width="5.33203125" style="1" bestFit="1" customWidth="1"/>
    <col min="83" max="83" width="5.109375" style="1" bestFit="1" customWidth="1"/>
    <col min="84" max="84" width="7" style="1" bestFit="1" customWidth="1"/>
    <col min="85" max="85" width="10.44140625" style="1" bestFit="1" customWidth="1"/>
    <col min="86" max="86" width="15.6640625" style="1" bestFit="1" customWidth="1"/>
    <col min="87" max="87" width="13.6640625" style="1" bestFit="1" customWidth="1"/>
    <col min="88" max="89" width="8.44140625" style="1" bestFit="1" customWidth="1"/>
    <col min="90" max="90" width="10.33203125" style="1" bestFit="1" customWidth="1"/>
    <col min="91" max="92" width="9.88671875" style="1" bestFit="1" customWidth="1"/>
    <col min="93" max="93" width="11.6640625" style="1" bestFit="1" customWidth="1"/>
    <col min="94" max="94" width="11.44140625" style="1" bestFit="1" customWidth="1"/>
    <col min="95" max="16384" width="9.109375" style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s="2" t="s">
        <v>98</v>
      </c>
      <c r="B2" s="3" t="s">
        <v>146</v>
      </c>
      <c r="C2" s="4" t="s">
        <v>194</v>
      </c>
      <c r="D2" s="5" t="s">
        <v>195</v>
      </c>
      <c r="G2" s="1" t="s">
        <v>94</v>
      </c>
      <c r="H2" s="1" t="s">
        <v>201</v>
      </c>
      <c r="I2" s="1" t="s">
        <v>96</v>
      </c>
      <c r="K2" s="1">
        <v>43454</v>
      </c>
      <c r="L2" s="6">
        <v>0.10262725779967159</v>
      </c>
      <c r="M2" s="7">
        <v>0.10262725779967159</v>
      </c>
      <c r="N2" s="8" t="s">
        <v>253</v>
      </c>
      <c r="O2" s="8" t="s">
        <v>203</v>
      </c>
      <c r="P2" s="1" t="s">
        <v>204</v>
      </c>
      <c r="Q2" s="1" t="s">
        <v>252</v>
      </c>
      <c r="R2" s="1">
        <v>3500</v>
      </c>
      <c r="U2" s="1">
        <v>9132</v>
      </c>
      <c r="V2" s="1">
        <v>868</v>
      </c>
      <c r="W2" s="1">
        <v>10000</v>
      </c>
      <c r="X2" s="1">
        <v>3975</v>
      </c>
      <c r="Y2" s="1">
        <v>2025</v>
      </c>
      <c r="Z2" s="1">
        <v>6000</v>
      </c>
      <c r="AA2" s="1">
        <v>750</v>
      </c>
      <c r="AB2" s="1">
        <v>250</v>
      </c>
      <c r="AC2" s="1">
        <v>1000</v>
      </c>
      <c r="AD2" s="1">
        <v>2800</v>
      </c>
      <c r="AE2" s="1">
        <v>0</v>
      </c>
      <c r="AF2" s="1">
        <v>2800</v>
      </c>
      <c r="AG2" s="1">
        <v>13630</v>
      </c>
      <c r="AH2" s="1">
        <v>910</v>
      </c>
      <c r="AI2" s="1">
        <v>14540</v>
      </c>
      <c r="AJ2" s="1">
        <v>667</v>
      </c>
      <c r="AK2" s="1">
        <v>-667</v>
      </c>
      <c r="AL2" s="1">
        <v>0</v>
      </c>
      <c r="AM2" s="1">
        <v>0</v>
      </c>
      <c r="AN2" s="1">
        <v>0</v>
      </c>
      <c r="AO2" s="1">
        <v>0</v>
      </c>
      <c r="AP2" s="1">
        <v>30954</v>
      </c>
      <c r="AQ2" s="1">
        <v>3386</v>
      </c>
      <c r="AR2" s="1">
        <v>34340</v>
      </c>
      <c r="AS2" s="1">
        <v>1950</v>
      </c>
      <c r="AT2" s="1">
        <v>0</v>
      </c>
      <c r="AU2" s="1">
        <v>1950</v>
      </c>
      <c r="AV2" s="1">
        <v>0</v>
      </c>
      <c r="AW2" s="1">
        <v>0</v>
      </c>
      <c r="AX2" s="1">
        <v>0</v>
      </c>
      <c r="AY2" s="1">
        <v>439</v>
      </c>
      <c r="AZ2" s="1">
        <v>42</v>
      </c>
      <c r="BA2" s="1">
        <v>481</v>
      </c>
      <c r="BB2" s="1">
        <v>761</v>
      </c>
      <c r="BC2" s="1">
        <v>72</v>
      </c>
      <c r="BD2" s="1">
        <v>833</v>
      </c>
      <c r="BE2" s="1">
        <v>0</v>
      </c>
      <c r="BF2" s="1">
        <v>0</v>
      </c>
      <c r="BG2" s="1">
        <v>0</v>
      </c>
      <c r="BH2" s="1">
        <v>3150</v>
      </c>
      <c r="BI2" s="1">
        <v>114</v>
      </c>
      <c r="BJ2" s="1">
        <v>3264</v>
      </c>
      <c r="BK2" s="9">
        <v>4500</v>
      </c>
      <c r="BL2" s="9">
        <v>0</v>
      </c>
      <c r="BM2" s="9">
        <v>4500</v>
      </c>
      <c r="BN2" s="9">
        <v>1350</v>
      </c>
      <c r="BO2" s="9">
        <v>0</v>
      </c>
      <c r="BP2" s="9">
        <v>1350</v>
      </c>
      <c r="BQ2" s="1">
        <v>0</v>
      </c>
      <c r="BR2" s="1">
        <v>0</v>
      </c>
      <c r="BS2" s="1">
        <v>0</v>
      </c>
      <c r="BT2" s="12">
        <f>BK2+BN2</f>
        <v>5850</v>
      </c>
      <c r="BU2" s="12">
        <f>BL2+BO2</f>
        <v>0</v>
      </c>
      <c r="BV2" s="12">
        <f>BM2+BP2</f>
        <v>5850</v>
      </c>
      <c r="BW2" s="1">
        <v>34104</v>
      </c>
      <c r="BX2" s="1">
        <v>3500</v>
      </c>
      <c r="BY2" s="1">
        <v>37604</v>
      </c>
      <c r="BZ2" s="1">
        <v>409248</v>
      </c>
      <c r="CA2" s="1">
        <v>42000</v>
      </c>
      <c r="CB2" s="1">
        <v>451248</v>
      </c>
      <c r="CC2" s="1">
        <v>3500</v>
      </c>
      <c r="CD2" s="1">
        <v>28954</v>
      </c>
      <c r="CE2" s="1">
        <v>3386</v>
      </c>
      <c r="CF2" s="1">
        <v>32340</v>
      </c>
      <c r="CG2" s="1">
        <v>1800</v>
      </c>
      <c r="CH2" s="1">
        <v>0</v>
      </c>
      <c r="CI2" s="1">
        <v>1800</v>
      </c>
      <c r="CJ2" s="1">
        <v>200</v>
      </c>
      <c r="CK2" s="1">
        <v>0</v>
      </c>
      <c r="CL2" s="1">
        <v>200</v>
      </c>
      <c r="CM2" s="1">
        <v>0</v>
      </c>
      <c r="CN2" s="1">
        <v>0</v>
      </c>
      <c r="CO2" s="1">
        <v>0</v>
      </c>
      <c r="CP2" s="1">
        <v>3</v>
      </c>
    </row>
    <row r="3" spans="1:94" x14ac:dyDescent="0.25">
      <c r="A3" s="2" t="s">
        <v>99</v>
      </c>
      <c r="B3" s="3" t="s">
        <v>147</v>
      </c>
      <c r="C3" s="4" t="s">
        <v>194</v>
      </c>
      <c r="D3" s="5" t="s">
        <v>196</v>
      </c>
      <c r="G3" s="1" t="s">
        <v>94</v>
      </c>
      <c r="H3" s="1" t="s">
        <v>201</v>
      </c>
      <c r="I3" s="1" t="s">
        <v>96</v>
      </c>
      <c r="J3" s="1">
        <v>3000</v>
      </c>
      <c r="K3" s="1">
        <v>33350</v>
      </c>
      <c r="L3" s="6">
        <v>0.11082693947144075</v>
      </c>
      <c r="M3" s="7">
        <v>0.23870417732310314</v>
      </c>
      <c r="N3" s="8" t="s">
        <v>253</v>
      </c>
      <c r="O3" s="8" t="s">
        <v>203</v>
      </c>
      <c r="P3" s="1" t="s">
        <v>205</v>
      </c>
      <c r="Q3" s="1" t="s">
        <v>252</v>
      </c>
      <c r="R3" s="1">
        <v>2600</v>
      </c>
      <c r="U3" s="1">
        <v>6868</v>
      </c>
      <c r="V3" s="1">
        <v>132</v>
      </c>
      <c r="W3" s="1">
        <v>7000</v>
      </c>
      <c r="X3" s="1">
        <v>2907</v>
      </c>
      <c r="Y3" s="1">
        <v>3000</v>
      </c>
      <c r="Z3" s="1">
        <v>5907</v>
      </c>
      <c r="AA3" s="1">
        <v>500</v>
      </c>
      <c r="AB3" s="1">
        <v>500</v>
      </c>
      <c r="AC3" s="1">
        <v>1000</v>
      </c>
      <c r="AD3" s="1">
        <v>1600</v>
      </c>
      <c r="AE3" s="1">
        <v>0</v>
      </c>
      <c r="AF3" s="1">
        <v>1600</v>
      </c>
      <c r="AG3" s="1">
        <v>8150</v>
      </c>
      <c r="AH3" s="1">
        <v>1790</v>
      </c>
      <c r="AI3" s="1">
        <v>9940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20025</v>
      </c>
      <c r="AQ3" s="1">
        <v>5422</v>
      </c>
      <c r="AR3" s="1">
        <v>25447</v>
      </c>
      <c r="AS3" s="1">
        <v>1950</v>
      </c>
      <c r="AT3" s="1">
        <v>0</v>
      </c>
      <c r="AU3" s="1">
        <v>1950</v>
      </c>
      <c r="AV3" s="1">
        <v>583</v>
      </c>
      <c r="AW3" s="1">
        <v>160</v>
      </c>
      <c r="AX3" s="1">
        <v>743</v>
      </c>
      <c r="AY3" s="1">
        <v>330</v>
      </c>
      <c r="AZ3" s="1">
        <v>7</v>
      </c>
      <c r="BA3" s="1">
        <v>337</v>
      </c>
      <c r="BB3" s="1">
        <v>572</v>
      </c>
      <c r="BC3" s="1">
        <v>11</v>
      </c>
      <c r="BD3" s="1">
        <v>583</v>
      </c>
      <c r="BE3" s="1">
        <v>0</v>
      </c>
      <c r="BF3" s="1">
        <v>0</v>
      </c>
      <c r="BG3" s="1">
        <v>0</v>
      </c>
      <c r="BH3" s="1">
        <v>3435</v>
      </c>
      <c r="BI3" s="1">
        <v>178</v>
      </c>
      <c r="BJ3" s="1">
        <v>3613</v>
      </c>
      <c r="BK3" s="9">
        <v>3300</v>
      </c>
      <c r="BL3" s="9">
        <v>0</v>
      </c>
      <c r="BM3" s="9">
        <v>3300</v>
      </c>
      <c r="BN3" s="9">
        <v>990</v>
      </c>
      <c r="BO3" s="9">
        <v>0</v>
      </c>
      <c r="BP3" s="9">
        <v>990</v>
      </c>
      <c r="BQ3" s="1">
        <v>0</v>
      </c>
      <c r="BR3" s="1">
        <v>0</v>
      </c>
      <c r="BS3" s="1">
        <v>0</v>
      </c>
      <c r="BT3" s="12">
        <f t="shared" ref="BT3:BT49" si="0">BK3+BN3</f>
        <v>4290</v>
      </c>
      <c r="BU3" s="12">
        <f t="shared" ref="BU3:BU49" si="1">BL3+BO3</f>
        <v>0</v>
      </c>
      <c r="BV3" s="12">
        <f t="shared" ref="BV3:BV49" si="2">BM3+BP3</f>
        <v>4290</v>
      </c>
      <c r="BW3" s="1">
        <v>23460</v>
      </c>
      <c r="BX3" s="1">
        <v>5600</v>
      </c>
      <c r="BY3" s="1">
        <v>29060</v>
      </c>
      <c r="BZ3" s="1">
        <v>281520</v>
      </c>
      <c r="CA3" s="1">
        <v>67200</v>
      </c>
      <c r="CB3" s="1">
        <v>348720</v>
      </c>
      <c r="CC3" s="1">
        <v>5600</v>
      </c>
      <c r="CD3" s="1">
        <v>17891</v>
      </c>
      <c r="CE3" s="1">
        <v>5385</v>
      </c>
      <c r="CF3" s="1">
        <v>23276</v>
      </c>
      <c r="CG3" s="1">
        <v>1800</v>
      </c>
      <c r="CH3" s="1">
        <v>0</v>
      </c>
      <c r="CI3" s="1">
        <v>1800</v>
      </c>
      <c r="CJ3" s="1">
        <v>200</v>
      </c>
      <c r="CK3" s="1">
        <v>0</v>
      </c>
      <c r="CL3" s="1">
        <v>200</v>
      </c>
      <c r="CM3" s="1">
        <v>134</v>
      </c>
      <c r="CN3" s="1">
        <v>37</v>
      </c>
      <c r="CO3" s="1">
        <v>171</v>
      </c>
      <c r="CP3" s="1">
        <v>2</v>
      </c>
    </row>
    <row r="4" spans="1:94" x14ac:dyDescent="0.25">
      <c r="A4" s="2" t="s">
        <v>100</v>
      </c>
      <c r="B4" s="3" t="s">
        <v>148</v>
      </c>
      <c r="C4" s="4" t="s">
        <v>194</v>
      </c>
      <c r="D4" s="10" t="s">
        <v>197</v>
      </c>
      <c r="G4" s="1" t="s">
        <v>94</v>
      </c>
      <c r="H4" s="1" t="s">
        <v>201</v>
      </c>
      <c r="I4" s="1" t="s">
        <v>96</v>
      </c>
      <c r="J4" s="1">
        <v>3200</v>
      </c>
      <c r="K4" s="1">
        <v>61544</v>
      </c>
      <c r="L4" s="6">
        <v>0</v>
      </c>
      <c r="M4" s="7">
        <v>0.17265338779635322</v>
      </c>
      <c r="N4" s="8" t="s">
        <v>253</v>
      </c>
      <c r="O4" s="8" t="s">
        <v>203</v>
      </c>
      <c r="P4" s="1" t="s">
        <v>206</v>
      </c>
      <c r="Q4" s="1" t="s">
        <v>252</v>
      </c>
      <c r="R4" s="1">
        <v>0</v>
      </c>
      <c r="U4" s="1">
        <v>12521</v>
      </c>
      <c r="V4" s="1">
        <v>479</v>
      </c>
      <c r="W4" s="1">
        <v>13000</v>
      </c>
      <c r="X4" s="1">
        <v>5240</v>
      </c>
      <c r="Y4" s="1">
        <v>1760</v>
      </c>
      <c r="Z4" s="1">
        <v>7000</v>
      </c>
      <c r="AA4" s="1">
        <v>500</v>
      </c>
      <c r="AB4" s="1">
        <v>500</v>
      </c>
      <c r="AC4" s="1">
        <v>1000</v>
      </c>
      <c r="AD4" s="1">
        <v>1600</v>
      </c>
      <c r="AE4" s="1">
        <v>0</v>
      </c>
      <c r="AF4" s="1">
        <v>1600</v>
      </c>
      <c r="AG4" s="1">
        <v>24038</v>
      </c>
      <c r="AH4" s="1">
        <v>5398</v>
      </c>
      <c r="AI4" s="1">
        <v>29436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43899</v>
      </c>
      <c r="AQ4" s="1">
        <v>8137</v>
      </c>
      <c r="AR4" s="1">
        <v>52036</v>
      </c>
      <c r="AS4" s="1">
        <v>1950</v>
      </c>
      <c r="AT4" s="1">
        <v>0</v>
      </c>
      <c r="AU4" s="1">
        <v>1950</v>
      </c>
      <c r="AV4" s="1">
        <v>0</v>
      </c>
      <c r="AW4" s="1">
        <v>0</v>
      </c>
      <c r="AX4" s="1">
        <v>0</v>
      </c>
      <c r="AY4" s="1">
        <v>602</v>
      </c>
      <c r="AZ4" s="1">
        <v>23</v>
      </c>
      <c r="BA4" s="1">
        <v>625</v>
      </c>
      <c r="BB4" s="1">
        <v>1043</v>
      </c>
      <c r="BC4" s="1">
        <v>40</v>
      </c>
      <c r="BD4" s="1">
        <v>1083</v>
      </c>
      <c r="BE4" s="1">
        <v>0</v>
      </c>
      <c r="BF4" s="1">
        <v>0</v>
      </c>
      <c r="BG4" s="1">
        <v>0</v>
      </c>
      <c r="BH4" s="1">
        <v>3595</v>
      </c>
      <c r="BI4" s="1">
        <v>63</v>
      </c>
      <c r="BJ4" s="1">
        <v>3658</v>
      </c>
      <c r="BK4" s="9">
        <v>4500</v>
      </c>
      <c r="BL4" s="9">
        <v>0</v>
      </c>
      <c r="BM4" s="9">
        <v>4500</v>
      </c>
      <c r="BN4" s="9">
        <v>1350</v>
      </c>
      <c r="BO4" s="9">
        <v>0</v>
      </c>
      <c r="BP4" s="9">
        <v>1350</v>
      </c>
      <c r="BQ4" s="1">
        <v>0</v>
      </c>
      <c r="BR4" s="1">
        <v>0</v>
      </c>
      <c r="BS4" s="1">
        <v>0</v>
      </c>
      <c r="BT4" s="12">
        <f t="shared" si="0"/>
        <v>5850</v>
      </c>
      <c r="BU4" s="12">
        <f t="shared" si="1"/>
        <v>0</v>
      </c>
      <c r="BV4" s="12">
        <f t="shared" si="2"/>
        <v>5850</v>
      </c>
      <c r="BW4" s="1">
        <v>47494</v>
      </c>
      <c r="BX4" s="1">
        <v>8200</v>
      </c>
      <c r="BY4" s="1">
        <v>55694</v>
      </c>
      <c r="BZ4" s="1">
        <v>569928</v>
      </c>
      <c r="CA4" s="1">
        <v>98400</v>
      </c>
      <c r="CB4" s="1">
        <v>668328</v>
      </c>
      <c r="CC4" s="1">
        <v>8200</v>
      </c>
      <c r="CD4" s="1">
        <v>41899</v>
      </c>
      <c r="CE4" s="1">
        <v>8137</v>
      </c>
      <c r="CF4" s="1">
        <v>50036</v>
      </c>
      <c r="CG4" s="1">
        <v>1800</v>
      </c>
      <c r="CH4" s="1">
        <v>0</v>
      </c>
      <c r="CI4" s="1">
        <v>1800</v>
      </c>
      <c r="CJ4" s="1">
        <v>200</v>
      </c>
      <c r="CK4" s="1">
        <v>0</v>
      </c>
      <c r="CL4" s="1">
        <v>200</v>
      </c>
      <c r="CM4" s="1">
        <v>0</v>
      </c>
      <c r="CN4" s="1">
        <v>0</v>
      </c>
      <c r="CO4" s="1">
        <v>0</v>
      </c>
      <c r="CP4" s="1">
        <v>3</v>
      </c>
    </row>
    <row r="5" spans="1:94" x14ac:dyDescent="0.25">
      <c r="A5" s="2" t="s">
        <v>101</v>
      </c>
      <c r="B5" s="3" t="s">
        <v>149</v>
      </c>
      <c r="C5" s="4" t="s">
        <v>194</v>
      </c>
      <c r="D5" s="5" t="s">
        <v>196</v>
      </c>
      <c r="G5" s="1" t="s">
        <v>94</v>
      </c>
      <c r="H5" s="1" t="s">
        <v>95</v>
      </c>
      <c r="I5" s="1" t="s">
        <v>96</v>
      </c>
      <c r="K5" s="1">
        <v>46502</v>
      </c>
      <c r="L5" s="6">
        <v>8.202604326873783E-2</v>
      </c>
      <c r="M5" s="7">
        <v>8.202604326873783E-2</v>
      </c>
      <c r="N5" s="8" t="s">
        <v>253</v>
      </c>
      <c r="O5" s="8" t="s">
        <v>203</v>
      </c>
      <c r="P5" s="1" t="s">
        <v>207</v>
      </c>
      <c r="Q5" s="1" t="s">
        <v>252</v>
      </c>
      <c r="R5" s="1">
        <v>3200</v>
      </c>
      <c r="U5" s="1">
        <v>9534</v>
      </c>
      <c r="V5" s="1">
        <v>466</v>
      </c>
      <c r="W5" s="1">
        <v>10000</v>
      </c>
      <c r="X5" s="1">
        <v>6243</v>
      </c>
      <c r="Y5" s="1">
        <v>757</v>
      </c>
      <c r="Z5" s="1">
        <v>7000</v>
      </c>
      <c r="AA5" s="1">
        <v>500</v>
      </c>
      <c r="AB5" s="1">
        <v>500</v>
      </c>
      <c r="AC5" s="1">
        <v>1000</v>
      </c>
      <c r="AD5" s="1">
        <v>1600</v>
      </c>
      <c r="AE5" s="1">
        <v>0</v>
      </c>
      <c r="AF5" s="1">
        <v>1600</v>
      </c>
      <c r="AG5" s="1">
        <v>17932</v>
      </c>
      <c r="AH5" s="1">
        <v>1416</v>
      </c>
      <c r="AI5" s="1">
        <v>19348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35809</v>
      </c>
      <c r="AQ5" s="1">
        <v>3139</v>
      </c>
      <c r="AR5" s="1">
        <v>38948</v>
      </c>
      <c r="AS5" s="1">
        <v>1950</v>
      </c>
      <c r="AT5" s="1">
        <v>0</v>
      </c>
      <c r="AU5" s="1">
        <v>1950</v>
      </c>
      <c r="AV5" s="1">
        <v>0</v>
      </c>
      <c r="AW5" s="1">
        <v>0</v>
      </c>
      <c r="AX5" s="1">
        <v>0</v>
      </c>
      <c r="AY5" s="1">
        <v>459</v>
      </c>
      <c r="AZ5" s="1">
        <v>22</v>
      </c>
      <c r="BA5" s="1">
        <v>481</v>
      </c>
      <c r="BB5" s="1">
        <v>794</v>
      </c>
      <c r="BC5" s="1">
        <v>39</v>
      </c>
      <c r="BD5" s="1">
        <v>833</v>
      </c>
      <c r="BE5" s="1">
        <v>0</v>
      </c>
      <c r="BF5" s="1">
        <v>0</v>
      </c>
      <c r="BG5" s="1">
        <v>0</v>
      </c>
      <c r="BH5" s="1">
        <v>3203</v>
      </c>
      <c r="BI5" s="1">
        <v>61</v>
      </c>
      <c r="BJ5" s="1">
        <v>3264</v>
      </c>
      <c r="BK5" s="9">
        <v>3300</v>
      </c>
      <c r="BL5" s="9">
        <v>0</v>
      </c>
      <c r="BM5" s="9">
        <v>3300</v>
      </c>
      <c r="BN5" s="9">
        <v>990</v>
      </c>
      <c r="BO5" s="9">
        <v>0</v>
      </c>
      <c r="BP5" s="9">
        <v>990</v>
      </c>
      <c r="BQ5" s="1">
        <v>0</v>
      </c>
      <c r="BR5" s="1">
        <v>0</v>
      </c>
      <c r="BS5" s="1">
        <v>0</v>
      </c>
      <c r="BT5" s="12">
        <f t="shared" si="0"/>
        <v>4290</v>
      </c>
      <c r="BU5" s="12">
        <f t="shared" si="1"/>
        <v>0</v>
      </c>
      <c r="BV5" s="12">
        <f t="shared" si="2"/>
        <v>4290</v>
      </c>
      <c r="BW5" s="1">
        <v>39012</v>
      </c>
      <c r="BX5" s="1">
        <v>3200</v>
      </c>
      <c r="BY5" s="1">
        <v>42212</v>
      </c>
      <c r="BZ5" s="1">
        <v>468144</v>
      </c>
      <c r="CA5" s="1">
        <v>38400</v>
      </c>
      <c r="CB5" s="1">
        <v>506544</v>
      </c>
      <c r="CC5" s="1">
        <v>3200</v>
      </c>
      <c r="CD5" s="1">
        <v>33809</v>
      </c>
      <c r="CE5" s="1">
        <v>3139</v>
      </c>
      <c r="CF5" s="1">
        <v>36948</v>
      </c>
      <c r="CG5" s="1">
        <v>1800</v>
      </c>
      <c r="CH5" s="1">
        <v>0</v>
      </c>
      <c r="CI5" s="1">
        <v>1800</v>
      </c>
      <c r="CJ5" s="1">
        <v>200</v>
      </c>
      <c r="CK5" s="1">
        <v>0</v>
      </c>
      <c r="CL5" s="1">
        <v>200</v>
      </c>
      <c r="CM5" s="1">
        <v>0</v>
      </c>
      <c r="CN5" s="1">
        <v>0</v>
      </c>
      <c r="CO5" s="1">
        <v>0</v>
      </c>
      <c r="CP5" s="1">
        <v>2</v>
      </c>
    </row>
    <row r="6" spans="1:94" x14ac:dyDescent="0.25">
      <c r="A6" s="2" t="s">
        <v>102</v>
      </c>
      <c r="B6" s="3" t="s">
        <v>150</v>
      </c>
      <c r="C6" s="4" t="s">
        <v>194</v>
      </c>
      <c r="D6" s="5" t="s">
        <v>198</v>
      </c>
      <c r="G6" s="1" t="s">
        <v>94</v>
      </c>
      <c r="H6" s="1" t="s">
        <v>201</v>
      </c>
      <c r="I6" s="1" t="s">
        <v>96</v>
      </c>
      <c r="K6" s="1">
        <v>25809</v>
      </c>
      <c r="L6" s="6">
        <v>7.5404118949997642E-2</v>
      </c>
      <c r="M6" s="7">
        <v>7.5404118949997642E-2</v>
      </c>
      <c r="N6" s="8" t="s">
        <v>253</v>
      </c>
      <c r="O6" s="8" t="s">
        <v>203</v>
      </c>
      <c r="P6" s="1" t="s">
        <v>208</v>
      </c>
      <c r="Q6" s="1" t="s">
        <v>252</v>
      </c>
      <c r="R6" s="1">
        <v>1600</v>
      </c>
      <c r="U6" s="1">
        <v>7544</v>
      </c>
      <c r="V6" s="1">
        <v>456</v>
      </c>
      <c r="W6" s="1">
        <v>8000</v>
      </c>
      <c r="X6" s="1">
        <v>6200</v>
      </c>
      <c r="Y6" s="1">
        <v>400</v>
      </c>
      <c r="Z6" s="1">
        <v>6600</v>
      </c>
      <c r="AA6" s="1">
        <v>500</v>
      </c>
      <c r="AB6" s="1">
        <v>500</v>
      </c>
      <c r="AC6" s="1">
        <v>1000</v>
      </c>
      <c r="AD6" s="1">
        <v>1818</v>
      </c>
      <c r="AE6" s="1">
        <v>0</v>
      </c>
      <c r="AF6" s="1">
        <v>1818</v>
      </c>
      <c r="AG6" s="1">
        <v>2096</v>
      </c>
      <c r="AH6" s="1">
        <v>28</v>
      </c>
      <c r="AI6" s="1">
        <v>2124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18158</v>
      </c>
      <c r="AQ6" s="1">
        <v>1384</v>
      </c>
      <c r="AR6" s="1">
        <v>19542</v>
      </c>
      <c r="AS6" s="1">
        <v>1555</v>
      </c>
      <c r="AT6" s="1">
        <v>127</v>
      </c>
      <c r="AU6" s="1">
        <v>1682</v>
      </c>
      <c r="AV6" s="1">
        <v>515</v>
      </c>
      <c r="AW6" s="1">
        <v>29</v>
      </c>
      <c r="AX6" s="1">
        <v>544</v>
      </c>
      <c r="AY6" s="1">
        <v>363</v>
      </c>
      <c r="AZ6" s="1">
        <v>22</v>
      </c>
      <c r="BA6" s="1">
        <v>385</v>
      </c>
      <c r="BB6" s="1">
        <v>628</v>
      </c>
      <c r="BC6" s="1">
        <v>38</v>
      </c>
      <c r="BD6" s="1">
        <v>666</v>
      </c>
      <c r="BE6" s="1">
        <v>0</v>
      </c>
      <c r="BF6" s="1">
        <v>0</v>
      </c>
      <c r="BG6" s="1">
        <v>0</v>
      </c>
      <c r="BH6" s="1">
        <v>3061</v>
      </c>
      <c r="BI6" s="1">
        <v>216</v>
      </c>
      <c r="BJ6" s="1">
        <v>3277</v>
      </c>
      <c r="BK6" s="9">
        <v>2300</v>
      </c>
      <c r="BL6" s="9">
        <v>0</v>
      </c>
      <c r="BM6" s="9">
        <v>2300</v>
      </c>
      <c r="BN6" s="9">
        <v>690</v>
      </c>
      <c r="BO6" s="9">
        <v>0</v>
      </c>
      <c r="BP6" s="9">
        <v>690</v>
      </c>
      <c r="BQ6" s="1">
        <v>0</v>
      </c>
      <c r="BR6" s="1">
        <v>0</v>
      </c>
      <c r="BS6" s="1">
        <v>0</v>
      </c>
      <c r="BT6" s="12">
        <f t="shared" si="0"/>
        <v>2990</v>
      </c>
      <c r="BU6" s="12">
        <f t="shared" si="1"/>
        <v>0</v>
      </c>
      <c r="BV6" s="12">
        <f t="shared" si="2"/>
        <v>2990</v>
      </c>
      <c r="BW6" s="1">
        <v>21219</v>
      </c>
      <c r="BX6" s="1">
        <v>1600</v>
      </c>
      <c r="BY6" s="1">
        <v>22819</v>
      </c>
      <c r="BZ6" s="1">
        <v>254628</v>
      </c>
      <c r="CA6" s="1">
        <v>19200</v>
      </c>
      <c r="CB6" s="1">
        <v>273828</v>
      </c>
      <c r="CC6" s="1">
        <v>1600</v>
      </c>
      <c r="CD6" s="1">
        <v>16404</v>
      </c>
      <c r="CE6" s="1">
        <v>1260</v>
      </c>
      <c r="CF6" s="1">
        <v>17664</v>
      </c>
      <c r="CG6" s="1">
        <v>1435</v>
      </c>
      <c r="CH6" s="1">
        <v>118</v>
      </c>
      <c r="CI6" s="1">
        <v>1553</v>
      </c>
      <c r="CJ6" s="1">
        <v>200</v>
      </c>
      <c r="CK6" s="1">
        <v>0</v>
      </c>
      <c r="CL6" s="1">
        <v>200</v>
      </c>
      <c r="CM6" s="1">
        <v>119</v>
      </c>
      <c r="CN6" s="1">
        <v>7</v>
      </c>
      <c r="CO6" s="1">
        <v>126</v>
      </c>
      <c r="CP6" s="1">
        <v>1</v>
      </c>
    </row>
    <row r="7" spans="1:94" x14ac:dyDescent="0.25">
      <c r="A7" s="2" t="s">
        <v>103</v>
      </c>
      <c r="B7" s="3" t="s">
        <v>151</v>
      </c>
      <c r="C7" s="4" t="s">
        <v>194</v>
      </c>
      <c r="D7" s="5" t="s">
        <v>198</v>
      </c>
      <c r="G7" s="1" t="s">
        <v>94</v>
      </c>
      <c r="H7" s="1" t="s">
        <v>97</v>
      </c>
      <c r="I7" s="1" t="s">
        <v>97</v>
      </c>
      <c r="K7" s="1">
        <v>26777</v>
      </c>
      <c r="L7" s="6">
        <v>4.3886597033266042E-2</v>
      </c>
      <c r="M7" s="7">
        <v>4.3886597033266042E-2</v>
      </c>
      <c r="N7" s="8" t="s">
        <v>253</v>
      </c>
      <c r="O7" s="8" t="s">
        <v>203</v>
      </c>
      <c r="P7" s="1" t="s">
        <v>209</v>
      </c>
      <c r="Q7" s="1" t="s">
        <v>252</v>
      </c>
      <c r="R7" s="1">
        <v>1000</v>
      </c>
      <c r="U7" s="1">
        <v>6846</v>
      </c>
      <c r="V7" s="1">
        <v>154</v>
      </c>
      <c r="W7" s="1">
        <v>7000</v>
      </c>
      <c r="X7" s="1">
        <v>5777</v>
      </c>
      <c r="Y7" s="1">
        <v>0</v>
      </c>
      <c r="Z7" s="1">
        <v>5777</v>
      </c>
      <c r="AA7" s="1">
        <v>1000</v>
      </c>
      <c r="AB7" s="1">
        <v>0</v>
      </c>
      <c r="AC7" s="1">
        <v>1000</v>
      </c>
      <c r="AD7" s="1">
        <v>1600</v>
      </c>
      <c r="AE7" s="1">
        <v>0</v>
      </c>
      <c r="AF7" s="1">
        <v>1600</v>
      </c>
      <c r="AG7" s="1">
        <v>4323</v>
      </c>
      <c r="AH7" s="1">
        <v>689</v>
      </c>
      <c r="AI7" s="1">
        <v>5012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19546</v>
      </c>
      <c r="AQ7" s="1">
        <v>843</v>
      </c>
      <c r="AR7" s="1">
        <v>20389</v>
      </c>
      <c r="AS7" s="1">
        <v>1790</v>
      </c>
      <c r="AT7" s="1">
        <v>110</v>
      </c>
      <c r="AU7" s="1">
        <v>1900</v>
      </c>
      <c r="AV7" s="1">
        <v>551</v>
      </c>
      <c r="AW7" s="1">
        <v>27</v>
      </c>
      <c r="AX7" s="1">
        <v>578</v>
      </c>
      <c r="AY7" s="1">
        <v>329</v>
      </c>
      <c r="AZ7" s="1">
        <v>8</v>
      </c>
      <c r="BA7" s="1">
        <v>337</v>
      </c>
      <c r="BB7" s="1">
        <v>570</v>
      </c>
      <c r="BC7" s="1">
        <v>13</v>
      </c>
      <c r="BD7" s="1">
        <v>583</v>
      </c>
      <c r="BE7" s="1">
        <v>0</v>
      </c>
      <c r="BF7" s="1">
        <v>0</v>
      </c>
      <c r="BG7" s="1">
        <v>0</v>
      </c>
      <c r="BH7" s="1">
        <v>3240</v>
      </c>
      <c r="BI7" s="1">
        <v>158</v>
      </c>
      <c r="BJ7" s="1">
        <v>3398</v>
      </c>
      <c r="BK7" s="9">
        <v>2300</v>
      </c>
      <c r="BL7" s="9">
        <v>0</v>
      </c>
      <c r="BM7" s="9">
        <v>2300</v>
      </c>
      <c r="BN7" s="9">
        <v>690</v>
      </c>
      <c r="BO7" s="9">
        <v>0</v>
      </c>
      <c r="BP7" s="9">
        <v>690</v>
      </c>
      <c r="BQ7" s="1">
        <v>0</v>
      </c>
      <c r="BR7" s="1">
        <v>0</v>
      </c>
      <c r="BS7" s="1">
        <v>0</v>
      </c>
      <c r="BT7" s="12">
        <f t="shared" si="0"/>
        <v>2990</v>
      </c>
      <c r="BU7" s="12">
        <f t="shared" si="1"/>
        <v>0</v>
      </c>
      <c r="BV7" s="12">
        <f t="shared" si="2"/>
        <v>2990</v>
      </c>
      <c r="BW7" s="1">
        <v>22786</v>
      </c>
      <c r="BX7" s="1">
        <v>1001</v>
      </c>
      <c r="BY7" s="1">
        <v>23787</v>
      </c>
      <c r="BZ7" s="1">
        <v>273432</v>
      </c>
      <c r="CA7" s="1">
        <v>12012</v>
      </c>
      <c r="CB7" s="1">
        <v>285444</v>
      </c>
      <c r="CC7" s="1">
        <v>1000</v>
      </c>
      <c r="CD7" s="1">
        <v>17567</v>
      </c>
      <c r="CE7" s="1">
        <v>735</v>
      </c>
      <c r="CF7" s="1">
        <v>18302</v>
      </c>
      <c r="CG7" s="1">
        <v>1652</v>
      </c>
      <c r="CH7" s="1">
        <v>101</v>
      </c>
      <c r="CI7" s="1">
        <v>1753</v>
      </c>
      <c r="CJ7" s="1">
        <v>200</v>
      </c>
      <c r="CK7" s="1">
        <v>0</v>
      </c>
      <c r="CL7" s="1">
        <v>200</v>
      </c>
      <c r="CM7" s="1">
        <v>127</v>
      </c>
      <c r="CN7" s="1">
        <v>6</v>
      </c>
      <c r="CO7" s="1">
        <v>133</v>
      </c>
      <c r="CP7" s="1">
        <v>1</v>
      </c>
    </row>
    <row r="8" spans="1:94" x14ac:dyDescent="0.25">
      <c r="A8" s="2" t="s">
        <v>104</v>
      </c>
      <c r="B8" s="3" t="s">
        <v>152</v>
      </c>
      <c r="C8" s="4" t="s">
        <v>194</v>
      </c>
      <c r="D8" s="5" t="s">
        <v>198</v>
      </c>
      <c r="G8" s="1" t="s">
        <v>94</v>
      </c>
      <c r="H8" s="1" t="s">
        <v>201</v>
      </c>
      <c r="I8" s="1" t="s">
        <v>96</v>
      </c>
      <c r="K8" s="1">
        <v>28965</v>
      </c>
      <c r="L8" s="6">
        <v>6.5641025641025641E-2</v>
      </c>
      <c r="M8" s="7">
        <v>6.5641025641025641E-2</v>
      </c>
      <c r="N8" s="8" t="s">
        <v>253</v>
      </c>
      <c r="O8" s="8" t="s">
        <v>203</v>
      </c>
      <c r="P8" s="1" t="s">
        <v>210</v>
      </c>
      <c r="Q8" s="1" t="s">
        <v>252</v>
      </c>
      <c r="R8" s="1">
        <v>1600</v>
      </c>
      <c r="U8" s="1">
        <v>7177</v>
      </c>
      <c r="V8" s="1">
        <v>323</v>
      </c>
      <c r="W8" s="1">
        <v>7500</v>
      </c>
      <c r="X8" s="1">
        <v>5879</v>
      </c>
      <c r="Y8" s="1">
        <v>121</v>
      </c>
      <c r="Z8" s="1">
        <v>6000</v>
      </c>
      <c r="AA8" s="1">
        <v>1000</v>
      </c>
      <c r="AB8" s="1">
        <v>0</v>
      </c>
      <c r="AC8" s="1">
        <v>1000</v>
      </c>
      <c r="AD8" s="1">
        <v>1600</v>
      </c>
      <c r="AE8" s="1">
        <v>0</v>
      </c>
      <c r="AF8" s="1">
        <v>1600</v>
      </c>
      <c r="AG8" s="1">
        <v>5232</v>
      </c>
      <c r="AH8" s="1">
        <v>1064</v>
      </c>
      <c r="AI8" s="1">
        <v>6296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20888</v>
      </c>
      <c r="AQ8" s="1">
        <v>1508</v>
      </c>
      <c r="AR8" s="1">
        <v>22396</v>
      </c>
      <c r="AS8" s="1">
        <v>1950</v>
      </c>
      <c r="AT8" s="1">
        <v>0</v>
      </c>
      <c r="AU8" s="1">
        <v>1950</v>
      </c>
      <c r="AV8" s="1">
        <v>594</v>
      </c>
      <c r="AW8" s="1">
        <v>49</v>
      </c>
      <c r="AX8" s="1">
        <v>643</v>
      </c>
      <c r="AY8" s="1">
        <v>345</v>
      </c>
      <c r="AZ8" s="1">
        <v>16</v>
      </c>
      <c r="BA8" s="1">
        <v>361</v>
      </c>
      <c r="BB8" s="1">
        <v>598</v>
      </c>
      <c r="BC8" s="1">
        <v>27</v>
      </c>
      <c r="BD8" s="1">
        <v>625</v>
      </c>
      <c r="BE8" s="1">
        <v>0</v>
      </c>
      <c r="BF8" s="1">
        <v>0</v>
      </c>
      <c r="BG8" s="1">
        <v>0</v>
      </c>
      <c r="BH8" s="1">
        <v>3487</v>
      </c>
      <c r="BI8" s="1">
        <v>92</v>
      </c>
      <c r="BJ8" s="1">
        <v>3579</v>
      </c>
      <c r="BK8" s="9">
        <v>2300</v>
      </c>
      <c r="BL8" s="9">
        <v>0</v>
      </c>
      <c r="BM8" s="9">
        <v>2300</v>
      </c>
      <c r="BN8" s="9">
        <v>690</v>
      </c>
      <c r="BO8" s="9">
        <v>0</v>
      </c>
      <c r="BP8" s="9">
        <v>690</v>
      </c>
      <c r="BQ8" s="1">
        <v>0</v>
      </c>
      <c r="BR8" s="1">
        <v>0</v>
      </c>
      <c r="BS8" s="1">
        <v>0</v>
      </c>
      <c r="BT8" s="12">
        <f t="shared" si="0"/>
        <v>2990</v>
      </c>
      <c r="BU8" s="12">
        <f t="shared" si="1"/>
        <v>0</v>
      </c>
      <c r="BV8" s="12">
        <f t="shared" si="2"/>
        <v>2990</v>
      </c>
      <c r="BW8" s="1">
        <v>24375</v>
      </c>
      <c r="BX8" s="1">
        <v>1600</v>
      </c>
      <c r="BY8" s="1">
        <v>25975</v>
      </c>
      <c r="BZ8" s="1">
        <v>292500</v>
      </c>
      <c r="CA8" s="1">
        <v>19200</v>
      </c>
      <c r="CB8" s="1">
        <v>311700</v>
      </c>
      <c r="CC8" s="1">
        <v>1600</v>
      </c>
      <c r="CD8" s="1">
        <v>18751</v>
      </c>
      <c r="CE8" s="1">
        <v>1497</v>
      </c>
      <c r="CF8" s="1">
        <v>20248</v>
      </c>
      <c r="CG8" s="1">
        <v>1800</v>
      </c>
      <c r="CH8" s="1">
        <v>0</v>
      </c>
      <c r="CI8" s="1">
        <v>1800</v>
      </c>
      <c r="CJ8" s="1">
        <v>200</v>
      </c>
      <c r="CK8" s="1">
        <v>0</v>
      </c>
      <c r="CL8" s="1">
        <v>200</v>
      </c>
      <c r="CM8" s="1">
        <v>137</v>
      </c>
      <c r="CN8" s="1">
        <v>11</v>
      </c>
      <c r="CO8" s="1">
        <v>148</v>
      </c>
      <c r="CP8" s="1">
        <v>1</v>
      </c>
    </row>
    <row r="9" spans="1:94" x14ac:dyDescent="0.25">
      <c r="A9" s="2" t="s">
        <v>105</v>
      </c>
      <c r="B9" s="3" t="s">
        <v>153</v>
      </c>
      <c r="C9" s="4" t="s">
        <v>194</v>
      </c>
      <c r="D9" s="5" t="s">
        <v>198</v>
      </c>
      <c r="G9" s="1" t="s">
        <v>94</v>
      </c>
      <c r="H9" s="1" t="s">
        <v>95</v>
      </c>
      <c r="I9" s="1" t="s">
        <v>96</v>
      </c>
      <c r="K9" s="1">
        <v>31149</v>
      </c>
      <c r="L9" s="6">
        <v>8.4749027312300163E-2</v>
      </c>
      <c r="M9" s="7">
        <v>8.4749027312300163E-2</v>
      </c>
      <c r="N9" s="8" t="s">
        <v>253</v>
      </c>
      <c r="O9" s="8" t="s">
        <v>203</v>
      </c>
      <c r="P9" s="1" t="s">
        <v>211</v>
      </c>
      <c r="Q9" s="1" t="s">
        <v>252</v>
      </c>
      <c r="R9" s="1">
        <v>2200</v>
      </c>
      <c r="U9" s="1">
        <v>6232</v>
      </c>
      <c r="V9" s="1">
        <v>768</v>
      </c>
      <c r="W9" s="1">
        <v>7000</v>
      </c>
      <c r="X9" s="1">
        <v>6661</v>
      </c>
      <c r="Y9" s="1">
        <v>0</v>
      </c>
      <c r="Z9" s="1">
        <v>6661</v>
      </c>
      <c r="AA9" s="1">
        <v>1000</v>
      </c>
      <c r="AB9" s="1">
        <v>0</v>
      </c>
      <c r="AC9" s="1">
        <v>1000</v>
      </c>
      <c r="AD9" s="1">
        <v>1600</v>
      </c>
      <c r="AE9" s="1">
        <v>0</v>
      </c>
      <c r="AF9" s="1">
        <v>1600</v>
      </c>
      <c r="AG9" s="1">
        <v>7049</v>
      </c>
      <c r="AH9" s="1">
        <v>1265</v>
      </c>
      <c r="AI9" s="1">
        <v>8314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22542</v>
      </c>
      <c r="AQ9" s="1">
        <v>2033</v>
      </c>
      <c r="AR9" s="1">
        <v>24575</v>
      </c>
      <c r="AS9" s="1">
        <v>1950</v>
      </c>
      <c r="AT9" s="1">
        <v>0</v>
      </c>
      <c r="AU9" s="1">
        <v>1950</v>
      </c>
      <c r="AV9" s="1">
        <v>648</v>
      </c>
      <c r="AW9" s="1">
        <v>66</v>
      </c>
      <c r="AX9" s="1">
        <v>714</v>
      </c>
      <c r="AY9" s="1">
        <v>300</v>
      </c>
      <c r="AZ9" s="1">
        <v>37</v>
      </c>
      <c r="BA9" s="1">
        <v>337</v>
      </c>
      <c r="BB9" s="1">
        <v>519</v>
      </c>
      <c r="BC9" s="1">
        <v>64</v>
      </c>
      <c r="BD9" s="1">
        <v>583</v>
      </c>
      <c r="BE9" s="1">
        <v>0</v>
      </c>
      <c r="BF9" s="1">
        <v>0</v>
      </c>
      <c r="BG9" s="1">
        <v>0</v>
      </c>
      <c r="BH9" s="1">
        <v>3417</v>
      </c>
      <c r="BI9" s="1">
        <v>167</v>
      </c>
      <c r="BJ9" s="1">
        <v>3584</v>
      </c>
      <c r="BK9" s="9">
        <v>2300</v>
      </c>
      <c r="BL9" s="9">
        <v>0</v>
      </c>
      <c r="BM9" s="9">
        <v>2300</v>
      </c>
      <c r="BN9" s="9">
        <v>690</v>
      </c>
      <c r="BO9" s="9">
        <v>0</v>
      </c>
      <c r="BP9" s="9">
        <v>690</v>
      </c>
      <c r="BQ9" s="1">
        <v>0</v>
      </c>
      <c r="BR9" s="1">
        <v>0</v>
      </c>
      <c r="BS9" s="1">
        <v>0</v>
      </c>
      <c r="BT9" s="12">
        <f t="shared" si="0"/>
        <v>2990</v>
      </c>
      <c r="BU9" s="12">
        <f t="shared" si="1"/>
        <v>0</v>
      </c>
      <c r="BV9" s="12">
        <f t="shared" si="2"/>
        <v>2990</v>
      </c>
      <c r="BW9" s="1">
        <v>25959</v>
      </c>
      <c r="BX9" s="1">
        <v>2200</v>
      </c>
      <c r="BY9" s="1">
        <v>28159</v>
      </c>
      <c r="BZ9" s="1">
        <v>311508</v>
      </c>
      <c r="CA9" s="1">
        <v>26400</v>
      </c>
      <c r="CB9" s="1">
        <v>337908</v>
      </c>
      <c r="CC9" s="1">
        <v>2200</v>
      </c>
      <c r="CD9" s="1">
        <v>20392</v>
      </c>
      <c r="CE9" s="1">
        <v>2018</v>
      </c>
      <c r="CF9" s="1">
        <v>22410</v>
      </c>
      <c r="CG9" s="1">
        <v>1800</v>
      </c>
      <c r="CH9" s="1">
        <v>0</v>
      </c>
      <c r="CI9" s="1">
        <v>1800</v>
      </c>
      <c r="CJ9" s="1">
        <v>200</v>
      </c>
      <c r="CK9" s="1">
        <v>0</v>
      </c>
      <c r="CL9" s="1">
        <v>200</v>
      </c>
      <c r="CM9" s="1">
        <v>150</v>
      </c>
      <c r="CN9" s="1">
        <v>15</v>
      </c>
      <c r="CO9" s="1">
        <v>165</v>
      </c>
      <c r="CP9" s="1">
        <v>1</v>
      </c>
    </row>
    <row r="10" spans="1:94" x14ac:dyDescent="0.25">
      <c r="A10" s="2" t="s">
        <v>106</v>
      </c>
      <c r="B10" s="3" t="s">
        <v>154</v>
      </c>
      <c r="C10" s="4" t="s">
        <v>194</v>
      </c>
      <c r="D10" s="5" t="s">
        <v>198</v>
      </c>
      <c r="G10" s="1" t="s">
        <v>94</v>
      </c>
      <c r="H10" s="1" t="s">
        <v>201</v>
      </c>
      <c r="I10" s="1" t="s">
        <v>96</v>
      </c>
      <c r="K10" s="1">
        <v>28826</v>
      </c>
      <c r="L10" s="6">
        <v>6.6017494636078561E-2</v>
      </c>
      <c r="M10" s="7">
        <v>6.6017494636078561E-2</v>
      </c>
      <c r="N10" s="8" t="s">
        <v>253</v>
      </c>
      <c r="O10" s="8" t="s">
        <v>203</v>
      </c>
      <c r="P10" s="1" t="s">
        <v>212</v>
      </c>
      <c r="Q10" s="1" t="s">
        <v>252</v>
      </c>
      <c r="R10" s="1">
        <v>1600</v>
      </c>
      <c r="U10" s="1">
        <v>6000</v>
      </c>
      <c r="V10" s="1">
        <v>1000</v>
      </c>
      <c r="W10" s="1">
        <v>7000</v>
      </c>
      <c r="X10" s="1">
        <v>6371</v>
      </c>
      <c r="Y10" s="1">
        <v>0</v>
      </c>
      <c r="Z10" s="1">
        <v>6371</v>
      </c>
      <c r="AA10" s="1">
        <v>1000</v>
      </c>
      <c r="AB10" s="1">
        <v>0</v>
      </c>
      <c r="AC10" s="1">
        <v>1000</v>
      </c>
      <c r="AD10" s="1">
        <v>1600</v>
      </c>
      <c r="AE10" s="1">
        <v>0</v>
      </c>
      <c r="AF10" s="1">
        <v>1600</v>
      </c>
      <c r="AG10" s="1">
        <v>5983</v>
      </c>
      <c r="AH10" s="1">
        <v>371</v>
      </c>
      <c r="AI10" s="1">
        <v>6354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20954</v>
      </c>
      <c r="AQ10" s="1">
        <v>1371</v>
      </c>
      <c r="AR10" s="1">
        <v>22325</v>
      </c>
      <c r="AS10" s="1">
        <v>1896</v>
      </c>
      <c r="AT10" s="1">
        <v>54</v>
      </c>
      <c r="AU10" s="1">
        <v>1950</v>
      </c>
      <c r="AV10" s="1">
        <v>597</v>
      </c>
      <c r="AW10" s="1">
        <v>44</v>
      </c>
      <c r="AX10" s="1">
        <v>641</v>
      </c>
      <c r="AY10" s="1">
        <v>289</v>
      </c>
      <c r="AZ10" s="1">
        <v>48</v>
      </c>
      <c r="BA10" s="1">
        <v>337</v>
      </c>
      <c r="BB10" s="1">
        <v>500</v>
      </c>
      <c r="BC10" s="1">
        <v>83</v>
      </c>
      <c r="BD10" s="1">
        <v>583</v>
      </c>
      <c r="BE10" s="1">
        <v>0</v>
      </c>
      <c r="BF10" s="1">
        <v>0</v>
      </c>
      <c r="BG10" s="1">
        <v>0</v>
      </c>
      <c r="BH10" s="1">
        <v>3282</v>
      </c>
      <c r="BI10" s="1">
        <v>229</v>
      </c>
      <c r="BJ10" s="1">
        <v>3511</v>
      </c>
      <c r="BK10" s="9">
        <v>2300</v>
      </c>
      <c r="BL10" s="9">
        <v>0</v>
      </c>
      <c r="BM10" s="9">
        <v>2300</v>
      </c>
      <c r="BN10" s="9">
        <v>690</v>
      </c>
      <c r="BO10" s="9">
        <v>0</v>
      </c>
      <c r="BP10" s="9">
        <v>690</v>
      </c>
      <c r="BQ10" s="1">
        <v>0</v>
      </c>
      <c r="BR10" s="1">
        <v>0</v>
      </c>
      <c r="BS10" s="1">
        <v>0</v>
      </c>
      <c r="BT10" s="12">
        <f t="shared" si="0"/>
        <v>2990</v>
      </c>
      <c r="BU10" s="12">
        <f t="shared" si="1"/>
        <v>0</v>
      </c>
      <c r="BV10" s="12">
        <f t="shared" si="2"/>
        <v>2990</v>
      </c>
      <c r="BW10" s="1">
        <v>24236</v>
      </c>
      <c r="BX10" s="1">
        <v>1600</v>
      </c>
      <c r="BY10" s="1">
        <v>25836</v>
      </c>
      <c r="BZ10" s="1">
        <v>290832</v>
      </c>
      <c r="CA10" s="1">
        <v>19200</v>
      </c>
      <c r="CB10" s="1">
        <v>310032</v>
      </c>
      <c r="CC10" s="1">
        <v>1600</v>
      </c>
      <c r="CD10" s="1">
        <v>18866</v>
      </c>
      <c r="CE10" s="1">
        <v>1311</v>
      </c>
      <c r="CF10" s="1">
        <v>20177</v>
      </c>
      <c r="CG10" s="1">
        <v>1750</v>
      </c>
      <c r="CH10" s="1">
        <v>50</v>
      </c>
      <c r="CI10" s="1">
        <v>1800</v>
      </c>
      <c r="CJ10" s="1">
        <v>200</v>
      </c>
      <c r="CK10" s="1">
        <v>0</v>
      </c>
      <c r="CL10" s="1">
        <v>200</v>
      </c>
      <c r="CM10" s="1">
        <v>138</v>
      </c>
      <c r="CN10" s="1">
        <v>10</v>
      </c>
      <c r="CO10" s="1">
        <v>148</v>
      </c>
      <c r="CP10" s="1">
        <v>1</v>
      </c>
    </row>
    <row r="11" spans="1:94" x14ac:dyDescent="0.25">
      <c r="A11" s="2" t="s">
        <v>107</v>
      </c>
      <c r="B11" s="3" t="s">
        <v>155</v>
      </c>
      <c r="C11" s="4" t="s">
        <v>194</v>
      </c>
      <c r="D11" s="5" t="s">
        <v>198</v>
      </c>
      <c r="G11" s="1" t="s">
        <v>94</v>
      </c>
      <c r="H11" s="1" t="s">
        <v>201</v>
      </c>
      <c r="I11" s="1" t="s">
        <v>96</v>
      </c>
      <c r="K11" s="1">
        <v>27415</v>
      </c>
      <c r="L11" s="6">
        <v>7.0098576122672507E-2</v>
      </c>
      <c r="M11" s="7">
        <v>7.0098576122672507E-2</v>
      </c>
      <c r="N11" s="8" t="s">
        <v>253</v>
      </c>
      <c r="O11" s="8" t="s">
        <v>203</v>
      </c>
      <c r="P11" s="1" t="s">
        <v>213</v>
      </c>
      <c r="Q11" s="1" t="s">
        <v>252</v>
      </c>
      <c r="R11" s="1">
        <v>1600</v>
      </c>
      <c r="U11" s="1">
        <v>7100</v>
      </c>
      <c r="V11" s="1">
        <v>400</v>
      </c>
      <c r="W11" s="1">
        <v>7500</v>
      </c>
      <c r="X11" s="1">
        <v>6000</v>
      </c>
      <c r="Y11" s="1">
        <v>0</v>
      </c>
      <c r="Z11" s="1">
        <v>6000</v>
      </c>
      <c r="AA11" s="1">
        <v>1000</v>
      </c>
      <c r="AB11" s="1">
        <v>0</v>
      </c>
      <c r="AC11" s="1">
        <v>1000</v>
      </c>
      <c r="AD11" s="1">
        <v>1600</v>
      </c>
      <c r="AE11" s="1">
        <v>0</v>
      </c>
      <c r="AF11" s="1">
        <v>1600</v>
      </c>
      <c r="AG11" s="1">
        <v>3875</v>
      </c>
      <c r="AH11" s="1">
        <v>931</v>
      </c>
      <c r="AI11" s="1">
        <v>4806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19575</v>
      </c>
      <c r="AQ11" s="1">
        <v>1331</v>
      </c>
      <c r="AR11" s="1">
        <v>20906</v>
      </c>
      <c r="AS11" s="1">
        <v>1765</v>
      </c>
      <c r="AT11" s="1">
        <v>173</v>
      </c>
      <c r="AU11" s="1">
        <v>1938</v>
      </c>
      <c r="AV11" s="1">
        <v>552</v>
      </c>
      <c r="AW11" s="1">
        <v>43</v>
      </c>
      <c r="AX11" s="1">
        <v>595</v>
      </c>
      <c r="AY11" s="1">
        <v>342</v>
      </c>
      <c r="AZ11" s="1">
        <v>19</v>
      </c>
      <c r="BA11" s="1">
        <v>361</v>
      </c>
      <c r="BB11" s="1">
        <v>591</v>
      </c>
      <c r="BC11" s="1">
        <v>34</v>
      </c>
      <c r="BD11" s="1">
        <v>625</v>
      </c>
      <c r="BE11" s="1">
        <v>0</v>
      </c>
      <c r="BF11" s="1">
        <v>0</v>
      </c>
      <c r="BG11" s="1">
        <v>0</v>
      </c>
      <c r="BH11" s="1">
        <v>3250</v>
      </c>
      <c r="BI11" s="1">
        <v>269</v>
      </c>
      <c r="BJ11" s="1">
        <v>3519</v>
      </c>
      <c r="BK11" s="9">
        <v>2300</v>
      </c>
      <c r="BL11" s="9">
        <v>0</v>
      </c>
      <c r="BM11" s="9">
        <v>2300</v>
      </c>
      <c r="BN11" s="9">
        <v>690</v>
      </c>
      <c r="BO11" s="9">
        <v>0</v>
      </c>
      <c r="BP11" s="9">
        <v>690</v>
      </c>
      <c r="BQ11" s="1">
        <v>0</v>
      </c>
      <c r="BR11" s="1">
        <v>0</v>
      </c>
      <c r="BS11" s="1">
        <v>0</v>
      </c>
      <c r="BT11" s="12">
        <f t="shared" si="0"/>
        <v>2990</v>
      </c>
      <c r="BU11" s="12">
        <f t="shared" si="1"/>
        <v>0</v>
      </c>
      <c r="BV11" s="12">
        <f t="shared" si="2"/>
        <v>2990</v>
      </c>
      <c r="BW11" s="1">
        <v>22825</v>
      </c>
      <c r="BX11" s="1">
        <v>1600</v>
      </c>
      <c r="BY11" s="1">
        <v>24425</v>
      </c>
      <c r="BZ11" s="1">
        <v>273900</v>
      </c>
      <c r="CA11" s="1">
        <v>19200</v>
      </c>
      <c r="CB11" s="1">
        <v>293100</v>
      </c>
      <c r="CC11" s="1">
        <v>1600</v>
      </c>
      <c r="CD11" s="1">
        <v>17619</v>
      </c>
      <c r="CE11" s="1">
        <v>1161</v>
      </c>
      <c r="CF11" s="1">
        <v>18780</v>
      </c>
      <c r="CG11" s="1">
        <v>1629</v>
      </c>
      <c r="CH11" s="1">
        <v>160</v>
      </c>
      <c r="CI11" s="1">
        <v>1789</v>
      </c>
      <c r="CJ11" s="1">
        <v>200</v>
      </c>
      <c r="CK11" s="1">
        <v>0</v>
      </c>
      <c r="CL11" s="1">
        <v>200</v>
      </c>
      <c r="CM11" s="1">
        <v>127</v>
      </c>
      <c r="CN11" s="1">
        <v>10</v>
      </c>
      <c r="CO11" s="1">
        <v>137</v>
      </c>
      <c r="CP11" s="1">
        <v>1</v>
      </c>
    </row>
    <row r="12" spans="1:94" x14ac:dyDescent="0.25">
      <c r="A12" s="2" t="s">
        <v>108</v>
      </c>
      <c r="B12" s="3" t="s">
        <v>156</v>
      </c>
      <c r="C12" s="4" t="s">
        <v>194</v>
      </c>
      <c r="D12" s="5" t="s">
        <v>198</v>
      </c>
      <c r="G12" s="1" t="s">
        <v>94</v>
      </c>
      <c r="H12" s="1" t="s">
        <v>97</v>
      </c>
      <c r="I12" s="1" t="s">
        <v>97</v>
      </c>
      <c r="K12" s="1">
        <v>23496</v>
      </c>
      <c r="L12" s="6">
        <v>5.1266277042961141E-2</v>
      </c>
      <c r="M12" s="7">
        <v>5.1266277042961141E-2</v>
      </c>
      <c r="N12" s="8" t="s">
        <v>253</v>
      </c>
      <c r="O12" s="8" t="s">
        <v>203</v>
      </c>
      <c r="P12" s="1" t="s">
        <v>214</v>
      </c>
      <c r="Q12" s="1" t="s">
        <v>252</v>
      </c>
      <c r="R12" s="1">
        <v>1000</v>
      </c>
      <c r="U12" s="1">
        <v>6600</v>
      </c>
      <c r="V12" s="1">
        <v>0</v>
      </c>
      <c r="W12" s="1">
        <v>6600</v>
      </c>
      <c r="X12" s="1">
        <v>5500</v>
      </c>
      <c r="Y12" s="1">
        <v>0</v>
      </c>
      <c r="Z12" s="1">
        <v>5500</v>
      </c>
      <c r="AA12" s="1">
        <v>1000</v>
      </c>
      <c r="AB12" s="1">
        <v>0</v>
      </c>
      <c r="AC12" s="1">
        <v>1000</v>
      </c>
      <c r="AD12" s="1">
        <v>1600</v>
      </c>
      <c r="AE12" s="1">
        <v>0</v>
      </c>
      <c r="AF12" s="1">
        <v>1600</v>
      </c>
      <c r="AG12" s="1">
        <v>2021</v>
      </c>
      <c r="AH12" s="1">
        <v>860</v>
      </c>
      <c r="AI12" s="1">
        <v>2881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16721</v>
      </c>
      <c r="AQ12" s="1">
        <v>860</v>
      </c>
      <c r="AR12" s="1">
        <v>17581</v>
      </c>
      <c r="AS12" s="1">
        <v>1459</v>
      </c>
      <c r="AT12" s="1">
        <v>112</v>
      </c>
      <c r="AU12" s="1">
        <v>1571</v>
      </c>
      <c r="AV12" s="1">
        <v>459</v>
      </c>
      <c r="AW12" s="1">
        <v>28</v>
      </c>
      <c r="AX12" s="1">
        <v>487</v>
      </c>
      <c r="AY12" s="1">
        <v>317</v>
      </c>
      <c r="AZ12" s="1">
        <v>0</v>
      </c>
      <c r="BA12" s="1">
        <v>317</v>
      </c>
      <c r="BB12" s="1">
        <v>550</v>
      </c>
      <c r="BC12" s="1">
        <v>0</v>
      </c>
      <c r="BD12" s="1">
        <v>550</v>
      </c>
      <c r="BE12" s="1">
        <v>0</v>
      </c>
      <c r="BF12" s="1">
        <v>0</v>
      </c>
      <c r="BG12" s="1">
        <v>0</v>
      </c>
      <c r="BH12" s="1">
        <v>2785</v>
      </c>
      <c r="BI12" s="1">
        <v>140</v>
      </c>
      <c r="BJ12" s="1">
        <v>2925</v>
      </c>
      <c r="BK12" s="9">
        <v>2300</v>
      </c>
      <c r="BL12" s="9">
        <v>0</v>
      </c>
      <c r="BM12" s="9">
        <v>2300</v>
      </c>
      <c r="BN12" s="9">
        <v>690</v>
      </c>
      <c r="BO12" s="9">
        <v>0</v>
      </c>
      <c r="BP12" s="9">
        <v>690</v>
      </c>
      <c r="BQ12" s="1">
        <v>0</v>
      </c>
      <c r="BR12" s="1">
        <v>0</v>
      </c>
      <c r="BS12" s="1">
        <v>0</v>
      </c>
      <c r="BT12" s="12">
        <f t="shared" si="0"/>
        <v>2990</v>
      </c>
      <c r="BU12" s="12">
        <f t="shared" si="1"/>
        <v>0</v>
      </c>
      <c r="BV12" s="12">
        <f t="shared" si="2"/>
        <v>2990</v>
      </c>
      <c r="BW12" s="1">
        <v>19506</v>
      </c>
      <c r="BX12" s="1">
        <v>1000</v>
      </c>
      <c r="BY12" s="1">
        <v>20506</v>
      </c>
      <c r="BZ12" s="1">
        <v>234072</v>
      </c>
      <c r="CA12" s="1">
        <v>12000</v>
      </c>
      <c r="CB12" s="1">
        <v>246072</v>
      </c>
      <c r="CC12" s="1">
        <v>1000</v>
      </c>
      <c r="CD12" s="1">
        <v>15069</v>
      </c>
      <c r="CE12" s="1">
        <v>750</v>
      </c>
      <c r="CF12" s="1">
        <v>15819</v>
      </c>
      <c r="CG12" s="1">
        <v>1347</v>
      </c>
      <c r="CH12" s="1">
        <v>103</v>
      </c>
      <c r="CI12" s="1">
        <v>1450</v>
      </c>
      <c r="CJ12" s="1">
        <v>200</v>
      </c>
      <c r="CK12" s="1">
        <v>0</v>
      </c>
      <c r="CL12" s="1">
        <v>200</v>
      </c>
      <c r="CM12" s="1">
        <v>106</v>
      </c>
      <c r="CN12" s="1">
        <v>6</v>
      </c>
      <c r="CO12" s="1">
        <v>112</v>
      </c>
      <c r="CP12" s="1">
        <v>1</v>
      </c>
    </row>
    <row r="13" spans="1:94" x14ac:dyDescent="0.25">
      <c r="A13" s="2" t="s">
        <v>109</v>
      </c>
      <c r="B13" s="3" t="s">
        <v>157</v>
      </c>
      <c r="C13" s="4" t="s">
        <v>194</v>
      </c>
      <c r="D13" s="10" t="s">
        <v>198</v>
      </c>
      <c r="G13" s="1" t="s">
        <v>94</v>
      </c>
      <c r="H13" s="1" t="s">
        <v>95</v>
      </c>
      <c r="I13" s="1" t="s">
        <v>96</v>
      </c>
      <c r="K13" s="1">
        <v>32088</v>
      </c>
      <c r="L13" s="6">
        <v>0.12356166499343578</v>
      </c>
      <c r="M13" s="7">
        <v>0.12356166499343578</v>
      </c>
      <c r="N13" s="8" t="s">
        <v>253</v>
      </c>
      <c r="O13" s="8" t="s">
        <v>203</v>
      </c>
      <c r="P13" s="1" t="s">
        <v>215</v>
      </c>
      <c r="Q13" s="1" t="s">
        <v>252</v>
      </c>
      <c r="R13" s="1">
        <v>3200</v>
      </c>
      <c r="U13" s="1">
        <v>6500</v>
      </c>
      <c r="V13" s="1">
        <v>2500</v>
      </c>
      <c r="W13" s="1">
        <v>9000</v>
      </c>
      <c r="X13" s="1">
        <v>8032</v>
      </c>
      <c r="Y13" s="1">
        <v>0</v>
      </c>
      <c r="Z13" s="1">
        <v>8032</v>
      </c>
      <c r="AA13" s="1">
        <v>1000</v>
      </c>
      <c r="AB13" s="1">
        <v>0</v>
      </c>
      <c r="AC13" s="1">
        <v>1000</v>
      </c>
      <c r="AD13" s="1">
        <v>1600</v>
      </c>
      <c r="AE13" s="1">
        <v>0</v>
      </c>
      <c r="AF13" s="1">
        <v>1600</v>
      </c>
      <c r="AG13" s="1">
        <v>5382</v>
      </c>
      <c r="AH13" s="1">
        <v>216</v>
      </c>
      <c r="AI13" s="1">
        <v>5598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22514</v>
      </c>
      <c r="AQ13" s="1">
        <v>2716</v>
      </c>
      <c r="AR13" s="1">
        <v>25230</v>
      </c>
      <c r="AS13" s="1">
        <v>1883</v>
      </c>
      <c r="AT13" s="1">
        <v>67</v>
      </c>
      <c r="AU13" s="1">
        <v>1950</v>
      </c>
      <c r="AV13" s="1">
        <v>647</v>
      </c>
      <c r="AW13" s="1">
        <v>88</v>
      </c>
      <c r="AX13" s="1">
        <v>735</v>
      </c>
      <c r="AY13" s="1">
        <v>313</v>
      </c>
      <c r="AZ13" s="1">
        <v>120</v>
      </c>
      <c r="BA13" s="1">
        <v>433</v>
      </c>
      <c r="BB13" s="1">
        <v>541</v>
      </c>
      <c r="BC13" s="1">
        <v>209</v>
      </c>
      <c r="BD13" s="1">
        <v>750</v>
      </c>
      <c r="BE13" s="1">
        <v>0</v>
      </c>
      <c r="BF13" s="1">
        <v>0</v>
      </c>
      <c r="BG13" s="1">
        <v>0</v>
      </c>
      <c r="BH13" s="1">
        <v>3384</v>
      </c>
      <c r="BI13" s="1">
        <v>484</v>
      </c>
      <c r="BJ13" s="1">
        <v>3868</v>
      </c>
      <c r="BK13" s="9">
        <v>2300</v>
      </c>
      <c r="BL13" s="9">
        <v>0</v>
      </c>
      <c r="BM13" s="9">
        <v>2300</v>
      </c>
      <c r="BN13" s="9">
        <v>690</v>
      </c>
      <c r="BO13" s="9">
        <v>0</v>
      </c>
      <c r="BP13" s="9">
        <v>690</v>
      </c>
      <c r="BQ13" s="1">
        <v>0</v>
      </c>
      <c r="BR13" s="1">
        <v>0</v>
      </c>
      <c r="BS13" s="1">
        <v>0</v>
      </c>
      <c r="BT13" s="12">
        <f t="shared" si="0"/>
        <v>2990</v>
      </c>
      <c r="BU13" s="12">
        <f t="shared" si="1"/>
        <v>0</v>
      </c>
      <c r="BV13" s="12">
        <f t="shared" si="2"/>
        <v>2990</v>
      </c>
      <c r="BW13" s="1">
        <v>25898</v>
      </c>
      <c r="BX13" s="1">
        <v>3200</v>
      </c>
      <c r="BY13" s="1">
        <v>29098</v>
      </c>
      <c r="BZ13" s="1">
        <v>310776</v>
      </c>
      <c r="CA13" s="1">
        <v>38400</v>
      </c>
      <c r="CB13" s="1">
        <v>349176</v>
      </c>
      <c r="CC13" s="1">
        <v>3200</v>
      </c>
      <c r="CD13" s="1">
        <v>20427</v>
      </c>
      <c r="CE13" s="1">
        <v>2633</v>
      </c>
      <c r="CF13" s="1">
        <v>23060</v>
      </c>
      <c r="CG13" s="1">
        <v>1738</v>
      </c>
      <c r="CH13" s="1">
        <v>62</v>
      </c>
      <c r="CI13" s="1">
        <v>1800</v>
      </c>
      <c r="CJ13" s="1">
        <v>200</v>
      </c>
      <c r="CK13" s="1">
        <v>0</v>
      </c>
      <c r="CL13" s="1">
        <v>200</v>
      </c>
      <c r="CM13" s="1">
        <v>149</v>
      </c>
      <c r="CN13" s="1">
        <v>20</v>
      </c>
      <c r="CO13" s="1">
        <v>169</v>
      </c>
      <c r="CP13" s="1">
        <v>1</v>
      </c>
    </row>
    <row r="14" spans="1:94" x14ac:dyDescent="0.25">
      <c r="A14" s="2" t="s">
        <v>110</v>
      </c>
      <c r="B14" s="3" t="s">
        <v>158</v>
      </c>
      <c r="C14" s="4" t="s">
        <v>194</v>
      </c>
      <c r="D14" s="5" t="s">
        <v>198</v>
      </c>
      <c r="G14" s="1" t="s">
        <v>94</v>
      </c>
      <c r="H14" s="1" t="s">
        <v>95</v>
      </c>
      <c r="I14" s="1" t="s">
        <v>96</v>
      </c>
      <c r="K14" s="1">
        <v>24063</v>
      </c>
      <c r="L14" s="6">
        <v>0.11656864303502358</v>
      </c>
      <c r="M14" s="7">
        <v>0.11656864303502358</v>
      </c>
      <c r="N14" s="8" t="s">
        <v>253</v>
      </c>
      <c r="O14" s="8" t="s">
        <v>203</v>
      </c>
      <c r="P14" s="1" t="s">
        <v>216</v>
      </c>
      <c r="Q14" s="1" t="s">
        <v>252</v>
      </c>
      <c r="R14" s="1">
        <v>2200</v>
      </c>
      <c r="U14" s="1">
        <v>6549</v>
      </c>
      <c r="V14" s="1">
        <v>51</v>
      </c>
      <c r="W14" s="1">
        <v>6600</v>
      </c>
      <c r="X14" s="1">
        <v>5500</v>
      </c>
      <c r="Y14" s="1">
        <v>0</v>
      </c>
      <c r="Z14" s="1">
        <v>5500</v>
      </c>
      <c r="AA14" s="1">
        <v>1000</v>
      </c>
      <c r="AB14" s="1">
        <v>0</v>
      </c>
      <c r="AC14" s="1">
        <v>1000</v>
      </c>
      <c r="AD14" s="1">
        <v>1600</v>
      </c>
      <c r="AE14" s="1">
        <v>0</v>
      </c>
      <c r="AF14" s="1">
        <v>1600</v>
      </c>
      <c r="AG14" s="1">
        <v>1533</v>
      </c>
      <c r="AH14" s="1">
        <v>1836</v>
      </c>
      <c r="AI14" s="1">
        <v>3369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16182</v>
      </c>
      <c r="AQ14" s="1">
        <v>1887</v>
      </c>
      <c r="AR14" s="1">
        <v>18069</v>
      </c>
      <c r="AS14" s="1">
        <v>1389</v>
      </c>
      <c r="AT14" s="1">
        <v>245</v>
      </c>
      <c r="AU14" s="1">
        <v>1634</v>
      </c>
      <c r="AV14" s="1">
        <v>441</v>
      </c>
      <c r="AW14" s="1">
        <v>62</v>
      </c>
      <c r="AX14" s="1">
        <v>503</v>
      </c>
      <c r="AY14" s="1">
        <v>315</v>
      </c>
      <c r="AZ14" s="1">
        <v>2</v>
      </c>
      <c r="BA14" s="1">
        <v>317</v>
      </c>
      <c r="BB14" s="1">
        <v>546</v>
      </c>
      <c r="BC14" s="1">
        <v>4</v>
      </c>
      <c r="BD14" s="1">
        <v>550</v>
      </c>
      <c r="BE14" s="1">
        <v>0</v>
      </c>
      <c r="BF14" s="1">
        <v>0</v>
      </c>
      <c r="BG14" s="1">
        <v>0</v>
      </c>
      <c r="BH14" s="1">
        <v>2691</v>
      </c>
      <c r="BI14" s="1">
        <v>313</v>
      </c>
      <c r="BJ14" s="1">
        <v>3004</v>
      </c>
      <c r="BK14" s="9">
        <v>2300</v>
      </c>
      <c r="BL14" s="9">
        <v>0</v>
      </c>
      <c r="BM14" s="9">
        <v>2300</v>
      </c>
      <c r="BN14" s="9">
        <v>690</v>
      </c>
      <c r="BO14" s="9">
        <v>0</v>
      </c>
      <c r="BP14" s="9">
        <v>690</v>
      </c>
      <c r="BQ14" s="1">
        <v>0</v>
      </c>
      <c r="BR14" s="1">
        <v>0</v>
      </c>
      <c r="BS14" s="1">
        <v>0</v>
      </c>
      <c r="BT14" s="12">
        <f t="shared" si="0"/>
        <v>2990</v>
      </c>
      <c r="BU14" s="12">
        <f t="shared" si="1"/>
        <v>0</v>
      </c>
      <c r="BV14" s="12">
        <f t="shared" si="2"/>
        <v>2990</v>
      </c>
      <c r="BW14" s="1">
        <v>18873</v>
      </c>
      <c r="BX14" s="1">
        <v>2200</v>
      </c>
      <c r="BY14" s="1">
        <v>21073</v>
      </c>
      <c r="BZ14" s="1">
        <v>226476</v>
      </c>
      <c r="CA14" s="1">
        <v>26400</v>
      </c>
      <c r="CB14" s="1">
        <v>252876</v>
      </c>
      <c r="CC14" s="1">
        <v>1000</v>
      </c>
      <c r="CD14" s="1">
        <v>14598</v>
      </c>
      <c r="CE14" s="1">
        <v>1647</v>
      </c>
      <c r="CF14" s="1">
        <v>16245</v>
      </c>
      <c r="CG14" s="1">
        <v>1282</v>
      </c>
      <c r="CH14" s="1">
        <v>226</v>
      </c>
      <c r="CI14" s="1">
        <v>1508</v>
      </c>
      <c r="CJ14" s="1">
        <v>200</v>
      </c>
      <c r="CK14" s="1">
        <v>0</v>
      </c>
      <c r="CL14" s="1">
        <v>200</v>
      </c>
      <c r="CM14" s="1">
        <v>102</v>
      </c>
      <c r="CN14" s="1">
        <v>14</v>
      </c>
      <c r="CO14" s="1">
        <v>116</v>
      </c>
      <c r="CP14" s="1">
        <v>1</v>
      </c>
    </row>
    <row r="15" spans="1:94" x14ac:dyDescent="0.25">
      <c r="A15" s="2" t="s">
        <v>111</v>
      </c>
      <c r="B15" s="3" t="s">
        <v>159</v>
      </c>
      <c r="C15" s="4" t="s">
        <v>194</v>
      </c>
      <c r="D15" s="5" t="s">
        <v>198</v>
      </c>
      <c r="G15" s="1" t="s">
        <v>94</v>
      </c>
      <c r="H15" s="1" t="s">
        <v>97</v>
      </c>
      <c r="I15" s="1" t="s">
        <v>97</v>
      </c>
      <c r="K15" s="1">
        <v>23248</v>
      </c>
      <c r="L15" s="6">
        <v>5.1929168614010493E-2</v>
      </c>
      <c r="M15" s="7">
        <v>5.1929168614010493E-2</v>
      </c>
      <c r="N15" s="8" t="s">
        <v>253</v>
      </c>
      <c r="O15" s="8" t="s">
        <v>203</v>
      </c>
      <c r="P15" s="1" t="s">
        <v>217</v>
      </c>
      <c r="Q15" s="1" t="s">
        <v>252</v>
      </c>
      <c r="R15" s="1">
        <v>1000</v>
      </c>
      <c r="U15" s="1">
        <v>6500</v>
      </c>
      <c r="V15" s="1">
        <v>0</v>
      </c>
      <c r="W15" s="1">
        <v>6500</v>
      </c>
      <c r="X15" s="1">
        <v>6000</v>
      </c>
      <c r="Y15" s="1">
        <v>0</v>
      </c>
      <c r="Z15" s="1">
        <v>6000</v>
      </c>
      <c r="AA15" s="1">
        <v>1000</v>
      </c>
      <c r="AB15" s="1">
        <v>0</v>
      </c>
      <c r="AC15" s="1">
        <v>1000</v>
      </c>
      <c r="AD15" s="1">
        <v>1600</v>
      </c>
      <c r="AE15" s="1">
        <v>0</v>
      </c>
      <c r="AF15" s="1">
        <v>1600</v>
      </c>
      <c r="AG15" s="1">
        <v>1474</v>
      </c>
      <c r="AH15" s="1">
        <v>861</v>
      </c>
      <c r="AI15" s="1">
        <v>2335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16574</v>
      </c>
      <c r="AQ15" s="1">
        <v>861</v>
      </c>
      <c r="AR15" s="1">
        <v>17435</v>
      </c>
      <c r="AS15" s="1">
        <v>1375</v>
      </c>
      <c r="AT15" s="1">
        <v>112</v>
      </c>
      <c r="AU15" s="1">
        <v>1487</v>
      </c>
      <c r="AV15" s="1">
        <v>454</v>
      </c>
      <c r="AW15" s="1">
        <v>28</v>
      </c>
      <c r="AX15" s="1">
        <v>482</v>
      </c>
      <c r="AY15" s="1">
        <v>313</v>
      </c>
      <c r="AZ15" s="1">
        <v>0</v>
      </c>
      <c r="BA15" s="1">
        <v>313</v>
      </c>
      <c r="BB15" s="1">
        <v>541</v>
      </c>
      <c r="BC15" s="1">
        <v>0</v>
      </c>
      <c r="BD15" s="1">
        <v>541</v>
      </c>
      <c r="BE15" s="1">
        <v>0</v>
      </c>
      <c r="BF15" s="1">
        <v>0</v>
      </c>
      <c r="BG15" s="1">
        <v>0</v>
      </c>
      <c r="BH15" s="1">
        <v>2683</v>
      </c>
      <c r="BI15" s="1">
        <v>140</v>
      </c>
      <c r="BJ15" s="1">
        <v>2823</v>
      </c>
      <c r="BK15" s="9">
        <v>2300</v>
      </c>
      <c r="BL15" s="9">
        <v>0</v>
      </c>
      <c r="BM15" s="9">
        <v>2300</v>
      </c>
      <c r="BN15" s="9">
        <v>690</v>
      </c>
      <c r="BO15" s="9">
        <v>0</v>
      </c>
      <c r="BP15" s="9">
        <v>690</v>
      </c>
      <c r="BQ15" s="1">
        <v>0</v>
      </c>
      <c r="BR15" s="1">
        <v>0</v>
      </c>
      <c r="BS15" s="1">
        <v>0</v>
      </c>
      <c r="BT15" s="12">
        <f t="shared" si="0"/>
        <v>2990</v>
      </c>
      <c r="BU15" s="12">
        <f t="shared" si="1"/>
        <v>0</v>
      </c>
      <c r="BV15" s="12">
        <f t="shared" si="2"/>
        <v>2990</v>
      </c>
      <c r="BW15" s="1">
        <v>19257</v>
      </c>
      <c r="BX15" s="1">
        <v>1001</v>
      </c>
      <c r="BY15" s="1">
        <v>20258</v>
      </c>
      <c r="BZ15" s="1">
        <v>231084</v>
      </c>
      <c r="CA15" s="1">
        <v>12012</v>
      </c>
      <c r="CB15" s="1">
        <v>243096</v>
      </c>
      <c r="CC15" s="1">
        <v>1000</v>
      </c>
      <c r="CD15" s="1">
        <v>15000</v>
      </c>
      <c r="CE15" s="1">
        <v>752</v>
      </c>
      <c r="CF15" s="1">
        <v>15752</v>
      </c>
      <c r="CG15" s="1">
        <v>1269</v>
      </c>
      <c r="CH15" s="1">
        <v>103</v>
      </c>
      <c r="CI15" s="1">
        <v>1372</v>
      </c>
      <c r="CJ15" s="1">
        <v>200</v>
      </c>
      <c r="CK15" s="1">
        <v>0</v>
      </c>
      <c r="CL15" s="1">
        <v>200</v>
      </c>
      <c r="CM15" s="1">
        <v>105</v>
      </c>
      <c r="CN15" s="1">
        <v>6</v>
      </c>
      <c r="CO15" s="1">
        <v>111</v>
      </c>
      <c r="CP15" s="1">
        <v>1</v>
      </c>
    </row>
    <row r="16" spans="1:94" x14ac:dyDescent="0.25">
      <c r="A16" s="2" t="s">
        <v>112</v>
      </c>
      <c r="B16" s="3" t="s">
        <v>160</v>
      </c>
      <c r="C16" s="4" t="s">
        <v>194</v>
      </c>
      <c r="D16" s="5" t="s">
        <v>198</v>
      </c>
      <c r="G16" s="1" t="s">
        <v>94</v>
      </c>
      <c r="H16" s="1" t="s">
        <v>97</v>
      </c>
      <c r="I16" s="1" t="s">
        <v>97</v>
      </c>
      <c r="K16" s="1">
        <v>30976</v>
      </c>
      <c r="L16" s="6">
        <v>3.7056251389609426E-2</v>
      </c>
      <c r="M16" s="7">
        <v>3.7056251389609426E-2</v>
      </c>
      <c r="N16" s="8" t="s">
        <v>253</v>
      </c>
      <c r="O16" s="8" t="s">
        <v>203</v>
      </c>
      <c r="P16" s="1" t="s">
        <v>218</v>
      </c>
      <c r="Q16" s="1" t="s">
        <v>252</v>
      </c>
      <c r="R16" s="1">
        <v>1000</v>
      </c>
      <c r="U16" s="1">
        <v>7654</v>
      </c>
      <c r="V16" s="1">
        <v>46</v>
      </c>
      <c r="W16" s="1">
        <v>7700</v>
      </c>
      <c r="X16" s="1">
        <v>4618</v>
      </c>
      <c r="Y16" s="1">
        <v>382</v>
      </c>
      <c r="Z16" s="1">
        <v>5000</v>
      </c>
      <c r="AA16" s="1">
        <v>500</v>
      </c>
      <c r="AB16" s="1">
        <v>500</v>
      </c>
      <c r="AC16" s="1">
        <v>1000</v>
      </c>
      <c r="AD16" s="1">
        <v>1600</v>
      </c>
      <c r="AE16" s="1">
        <v>0</v>
      </c>
      <c r="AF16" s="1">
        <v>1600</v>
      </c>
      <c r="AG16" s="1">
        <v>9658</v>
      </c>
      <c r="AH16" s="1">
        <v>67</v>
      </c>
      <c r="AI16" s="1">
        <v>9725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24030</v>
      </c>
      <c r="AQ16" s="1">
        <v>995</v>
      </c>
      <c r="AR16" s="1">
        <v>25025</v>
      </c>
      <c r="AS16" s="1">
        <v>1950</v>
      </c>
      <c r="AT16" s="1">
        <v>0</v>
      </c>
      <c r="AU16" s="1">
        <v>1950</v>
      </c>
      <c r="AV16" s="1">
        <v>0</v>
      </c>
      <c r="AW16" s="1">
        <v>0</v>
      </c>
      <c r="AX16" s="1">
        <v>0</v>
      </c>
      <c r="AY16" s="1">
        <v>368</v>
      </c>
      <c r="AZ16" s="1">
        <v>2</v>
      </c>
      <c r="BA16" s="1">
        <v>370</v>
      </c>
      <c r="BB16" s="1">
        <v>638</v>
      </c>
      <c r="BC16" s="1">
        <v>3</v>
      </c>
      <c r="BD16" s="1">
        <v>641</v>
      </c>
      <c r="BE16" s="1">
        <v>0</v>
      </c>
      <c r="BF16" s="1">
        <v>0</v>
      </c>
      <c r="BG16" s="1">
        <v>0</v>
      </c>
      <c r="BH16" s="1">
        <v>2956</v>
      </c>
      <c r="BI16" s="1">
        <v>5</v>
      </c>
      <c r="BJ16" s="1">
        <v>2961</v>
      </c>
      <c r="BK16" s="9">
        <v>2300</v>
      </c>
      <c r="BL16" s="9">
        <v>0</v>
      </c>
      <c r="BM16" s="9">
        <v>2300</v>
      </c>
      <c r="BN16" s="9">
        <v>690</v>
      </c>
      <c r="BO16" s="9">
        <v>0</v>
      </c>
      <c r="BP16" s="9">
        <v>690</v>
      </c>
      <c r="BQ16" s="1">
        <v>0</v>
      </c>
      <c r="BR16" s="1">
        <v>0</v>
      </c>
      <c r="BS16" s="1">
        <v>0</v>
      </c>
      <c r="BT16" s="12">
        <f t="shared" si="0"/>
        <v>2990</v>
      </c>
      <c r="BU16" s="12">
        <f t="shared" si="1"/>
        <v>0</v>
      </c>
      <c r="BV16" s="12">
        <f t="shared" si="2"/>
        <v>2990</v>
      </c>
      <c r="BW16" s="1">
        <v>26986</v>
      </c>
      <c r="BX16" s="1">
        <v>1000</v>
      </c>
      <c r="BY16" s="1">
        <v>27986</v>
      </c>
      <c r="BZ16" s="1">
        <v>323832</v>
      </c>
      <c r="CA16" s="1">
        <v>12000</v>
      </c>
      <c r="CB16" s="1">
        <v>335832</v>
      </c>
      <c r="CC16" s="1">
        <v>1600</v>
      </c>
      <c r="CD16" s="1">
        <v>22030</v>
      </c>
      <c r="CE16" s="1">
        <v>995</v>
      </c>
      <c r="CF16" s="1">
        <v>23025</v>
      </c>
      <c r="CG16" s="1">
        <v>1800</v>
      </c>
      <c r="CH16" s="1">
        <v>0</v>
      </c>
      <c r="CI16" s="1">
        <v>1800</v>
      </c>
      <c r="CJ16" s="1">
        <v>200</v>
      </c>
      <c r="CK16" s="1">
        <v>0</v>
      </c>
      <c r="CL16" s="1">
        <v>200</v>
      </c>
      <c r="CM16" s="1">
        <v>0</v>
      </c>
      <c r="CN16" s="1">
        <v>0</v>
      </c>
      <c r="CO16" s="1">
        <v>0</v>
      </c>
      <c r="CP16" s="1">
        <v>1</v>
      </c>
    </row>
    <row r="17" spans="1:94" x14ac:dyDescent="0.25">
      <c r="A17" s="2" t="s">
        <v>113</v>
      </c>
      <c r="B17" s="3" t="s">
        <v>161</v>
      </c>
      <c r="C17" s="4" t="s">
        <v>194</v>
      </c>
      <c r="D17" s="5" t="s">
        <v>198</v>
      </c>
      <c r="G17" s="1" t="s">
        <v>94</v>
      </c>
      <c r="H17" s="1" t="s">
        <v>201</v>
      </c>
      <c r="I17" s="1" t="s">
        <v>96</v>
      </c>
      <c r="K17" s="1">
        <v>22430</v>
      </c>
      <c r="L17" s="6">
        <v>8.9686098654708515E-2</v>
      </c>
      <c r="M17" s="7">
        <v>8.9686098654708515E-2</v>
      </c>
      <c r="N17" s="8" t="s">
        <v>253</v>
      </c>
      <c r="O17" s="8" t="s">
        <v>203</v>
      </c>
      <c r="P17" s="1" t="s">
        <v>219</v>
      </c>
      <c r="Q17" s="1" t="s">
        <v>252</v>
      </c>
      <c r="R17" s="1">
        <v>1600</v>
      </c>
      <c r="U17" s="1">
        <v>5427</v>
      </c>
      <c r="V17" s="1">
        <v>73</v>
      </c>
      <c r="W17" s="1">
        <v>5500</v>
      </c>
      <c r="X17" s="1">
        <v>4700</v>
      </c>
      <c r="Y17" s="1">
        <v>0</v>
      </c>
      <c r="Z17" s="1">
        <v>4700</v>
      </c>
      <c r="AA17" s="1">
        <v>1000</v>
      </c>
      <c r="AB17" s="1">
        <v>0</v>
      </c>
      <c r="AC17" s="1">
        <v>1000</v>
      </c>
      <c r="AD17" s="1">
        <v>1600</v>
      </c>
      <c r="AE17" s="1">
        <v>0</v>
      </c>
      <c r="AF17" s="1">
        <v>1600</v>
      </c>
      <c r="AG17" s="1">
        <v>2604</v>
      </c>
      <c r="AH17" s="1">
        <v>1295</v>
      </c>
      <c r="AI17" s="1">
        <v>3899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15331</v>
      </c>
      <c r="AQ17" s="1">
        <v>1368</v>
      </c>
      <c r="AR17" s="1">
        <v>16699</v>
      </c>
      <c r="AS17" s="1">
        <v>1382</v>
      </c>
      <c r="AT17" s="1">
        <v>178</v>
      </c>
      <c r="AU17" s="1">
        <v>1560</v>
      </c>
      <c r="AV17" s="1">
        <v>414</v>
      </c>
      <c r="AW17" s="1">
        <v>44</v>
      </c>
      <c r="AX17" s="1">
        <v>458</v>
      </c>
      <c r="AY17" s="1">
        <v>261</v>
      </c>
      <c r="AZ17" s="1">
        <v>4</v>
      </c>
      <c r="BA17" s="1">
        <v>265</v>
      </c>
      <c r="BB17" s="1">
        <v>452</v>
      </c>
      <c r="BC17" s="1">
        <v>6</v>
      </c>
      <c r="BD17" s="1">
        <v>458</v>
      </c>
      <c r="BE17" s="1">
        <v>0</v>
      </c>
      <c r="BF17" s="1">
        <v>0</v>
      </c>
      <c r="BG17" s="1">
        <v>0</v>
      </c>
      <c r="BH17" s="1">
        <v>2509</v>
      </c>
      <c r="BI17" s="1">
        <v>232</v>
      </c>
      <c r="BJ17" s="1">
        <v>2741</v>
      </c>
      <c r="BK17" s="9">
        <v>2300</v>
      </c>
      <c r="BL17" s="9">
        <v>0</v>
      </c>
      <c r="BM17" s="9">
        <v>2300</v>
      </c>
      <c r="BN17" s="9">
        <v>690</v>
      </c>
      <c r="BO17" s="9">
        <v>0</v>
      </c>
      <c r="BP17" s="9">
        <v>690</v>
      </c>
      <c r="BQ17" s="1">
        <v>0</v>
      </c>
      <c r="BR17" s="1">
        <v>0</v>
      </c>
      <c r="BS17" s="1">
        <v>0</v>
      </c>
      <c r="BT17" s="12">
        <f t="shared" si="0"/>
        <v>2990</v>
      </c>
      <c r="BU17" s="12">
        <f t="shared" si="1"/>
        <v>0</v>
      </c>
      <c r="BV17" s="12">
        <f t="shared" si="2"/>
        <v>2990</v>
      </c>
      <c r="BW17" s="1">
        <v>17840</v>
      </c>
      <c r="BX17" s="1">
        <v>1600</v>
      </c>
      <c r="BY17" s="1">
        <v>19440</v>
      </c>
      <c r="BZ17" s="1">
        <v>214080</v>
      </c>
      <c r="CA17" s="1">
        <v>19200</v>
      </c>
      <c r="CB17" s="1">
        <v>233280</v>
      </c>
      <c r="CC17" s="1">
        <v>1600</v>
      </c>
      <c r="CD17" s="1">
        <v>13760</v>
      </c>
      <c r="CE17" s="1">
        <v>1193</v>
      </c>
      <c r="CF17" s="1">
        <v>14953</v>
      </c>
      <c r="CG17" s="1">
        <v>1276</v>
      </c>
      <c r="CH17" s="1">
        <v>164</v>
      </c>
      <c r="CI17" s="1">
        <v>1440</v>
      </c>
      <c r="CJ17" s="1">
        <v>200</v>
      </c>
      <c r="CK17" s="1">
        <v>0</v>
      </c>
      <c r="CL17" s="1">
        <v>200</v>
      </c>
      <c r="CM17" s="1">
        <v>95</v>
      </c>
      <c r="CN17" s="1">
        <v>10</v>
      </c>
      <c r="CO17" s="1">
        <v>105</v>
      </c>
      <c r="CP17" s="1">
        <v>1</v>
      </c>
    </row>
    <row r="18" spans="1:94" x14ac:dyDescent="0.25">
      <c r="A18" s="9" t="s">
        <v>114</v>
      </c>
      <c r="B18" s="9" t="s">
        <v>162</v>
      </c>
      <c r="C18" s="4" t="s">
        <v>194</v>
      </c>
      <c r="D18" s="9" t="s">
        <v>196</v>
      </c>
      <c r="G18" s="1" t="s">
        <v>94</v>
      </c>
      <c r="H18" s="1" t="s">
        <v>97</v>
      </c>
      <c r="I18" s="1" t="s">
        <v>97</v>
      </c>
      <c r="K18" s="1">
        <v>39906</v>
      </c>
      <c r="L18" s="6">
        <v>4.7036688617121354E-2</v>
      </c>
      <c r="M18" s="7">
        <v>4.7036688617121354E-2</v>
      </c>
      <c r="N18" s="8" t="s">
        <v>253</v>
      </c>
      <c r="O18" s="8" t="s">
        <v>203</v>
      </c>
      <c r="P18" s="1" t="s">
        <v>220</v>
      </c>
      <c r="Q18" s="1" t="s">
        <v>252</v>
      </c>
      <c r="R18" s="1">
        <v>1600</v>
      </c>
      <c r="U18" s="1">
        <v>7699</v>
      </c>
      <c r="V18" s="1">
        <v>301</v>
      </c>
      <c r="W18" s="1">
        <v>8000</v>
      </c>
      <c r="X18" s="1">
        <v>6500</v>
      </c>
      <c r="Y18" s="1">
        <v>0</v>
      </c>
      <c r="Z18" s="1">
        <v>6500</v>
      </c>
      <c r="AA18" s="1">
        <v>1000</v>
      </c>
      <c r="AB18" s="1">
        <v>0</v>
      </c>
      <c r="AC18" s="1">
        <v>1000</v>
      </c>
      <c r="AD18" s="1">
        <v>1800</v>
      </c>
      <c r="AE18" s="1">
        <v>0</v>
      </c>
      <c r="AF18" s="1">
        <v>1800</v>
      </c>
      <c r="AG18" s="1">
        <v>14056</v>
      </c>
      <c r="AH18" s="1">
        <v>1259</v>
      </c>
      <c r="AI18" s="1">
        <v>15315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31055</v>
      </c>
      <c r="AQ18" s="1">
        <v>1560</v>
      </c>
      <c r="AR18" s="1">
        <v>32615</v>
      </c>
      <c r="AS18" s="1">
        <v>1950</v>
      </c>
      <c r="AT18" s="1">
        <v>0</v>
      </c>
      <c r="AU18" s="1">
        <v>1950</v>
      </c>
      <c r="AV18" s="1">
        <v>0</v>
      </c>
      <c r="AW18" s="1">
        <v>0</v>
      </c>
      <c r="AX18" s="1">
        <v>0</v>
      </c>
      <c r="AY18" s="1">
        <v>370</v>
      </c>
      <c r="AZ18" s="1">
        <v>15</v>
      </c>
      <c r="BA18" s="1">
        <v>385</v>
      </c>
      <c r="BB18" s="1">
        <v>641</v>
      </c>
      <c r="BC18" s="1">
        <v>25</v>
      </c>
      <c r="BD18" s="1">
        <v>666</v>
      </c>
      <c r="BE18" s="1">
        <v>0</v>
      </c>
      <c r="BF18" s="1">
        <v>0</v>
      </c>
      <c r="BG18" s="1">
        <v>0</v>
      </c>
      <c r="BH18" s="1">
        <v>2961</v>
      </c>
      <c r="BI18" s="1">
        <v>40</v>
      </c>
      <c r="BJ18" s="1">
        <v>3001</v>
      </c>
      <c r="BK18" s="10">
        <v>3300</v>
      </c>
      <c r="BL18" s="10">
        <v>0</v>
      </c>
      <c r="BM18" s="10">
        <v>3300</v>
      </c>
      <c r="BN18" s="10">
        <v>990</v>
      </c>
      <c r="BO18" s="10">
        <v>0</v>
      </c>
      <c r="BP18" s="10">
        <v>990</v>
      </c>
      <c r="BQ18" s="1">
        <v>0</v>
      </c>
      <c r="BR18" s="1">
        <v>0</v>
      </c>
      <c r="BS18" s="1">
        <v>0</v>
      </c>
      <c r="BT18" s="12">
        <f t="shared" si="0"/>
        <v>4290</v>
      </c>
      <c r="BU18" s="12">
        <f t="shared" si="1"/>
        <v>0</v>
      </c>
      <c r="BV18" s="12">
        <f t="shared" si="2"/>
        <v>4290</v>
      </c>
      <c r="BW18" s="1">
        <v>34016</v>
      </c>
      <c r="BX18" s="1">
        <v>1600</v>
      </c>
      <c r="BY18" s="1">
        <v>35616</v>
      </c>
      <c r="BZ18" s="1">
        <v>408192</v>
      </c>
      <c r="CA18" s="1">
        <v>19200</v>
      </c>
      <c r="CB18" s="1">
        <v>427392</v>
      </c>
      <c r="CC18" s="1">
        <v>1600</v>
      </c>
      <c r="CD18" s="1">
        <v>29055</v>
      </c>
      <c r="CE18" s="1">
        <v>1560</v>
      </c>
      <c r="CF18" s="1">
        <v>30615</v>
      </c>
      <c r="CG18" s="1">
        <v>1800</v>
      </c>
      <c r="CH18" s="1">
        <v>0</v>
      </c>
      <c r="CI18" s="1">
        <v>1800</v>
      </c>
      <c r="CJ18" s="1">
        <v>200</v>
      </c>
      <c r="CK18" s="1">
        <v>0</v>
      </c>
      <c r="CL18" s="1">
        <v>200</v>
      </c>
      <c r="CM18" s="1">
        <v>0</v>
      </c>
      <c r="CN18" s="1">
        <v>0</v>
      </c>
      <c r="CO18" s="1">
        <v>0</v>
      </c>
      <c r="CP18" s="1">
        <v>2</v>
      </c>
    </row>
    <row r="19" spans="1:94" x14ac:dyDescent="0.25">
      <c r="A19" s="2" t="s">
        <v>115</v>
      </c>
      <c r="B19" s="3" t="s">
        <v>163</v>
      </c>
      <c r="C19" s="4" t="s">
        <v>194</v>
      </c>
      <c r="D19" s="5" t="s">
        <v>196</v>
      </c>
      <c r="G19" s="1" t="s">
        <v>94</v>
      </c>
      <c r="H19" s="1" t="s">
        <v>95</v>
      </c>
      <c r="I19" s="1" t="s">
        <v>96</v>
      </c>
      <c r="J19" s="1">
        <v>3000</v>
      </c>
      <c r="K19" s="1">
        <v>36490</v>
      </c>
      <c r="L19" s="6">
        <v>0.12307692307692308</v>
      </c>
      <c r="M19" s="7">
        <v>0.23846153846153847</v>
      </c>
      <c r="N19" s="8" t="s">
        <v>253</v>
      </c>
      <c r="O19" s="8" t="s">
        <v>203</v>
      </c>
      <c r="P19" s="1" t="s">
        <v>221</v>
      </c>
      <c r="Q19" s="1" t="s">
        <v>252</v>
      </c>
      <c r="R19" s="1">
        <v>3200</v>
      </c>
      <c r="U19" s="1">
        <v>6755</v>
      </c>
      <c r="V19" s="1">
        <v>1245</v>
      </c>
      <c r="W19" s="1">
        <v>8000</v>
      </c>
      <c r="X19" s="1">
        <v>4500</v>
      </c>
      <c r="Y19" s="1">
        <v>1500</v>
      </c>
      <c r="Z19" s="1">
        <v>6000</v>
      </c>
      <c r="AA19" s="1">
        <v>800</v>
      </c>
      <c r="AB19" s="1">
        <v>200</v>
      </c>
      <c r="AC19" s="1">
        <v>1000</v>
      </c>
      <c r="AD19" s="1">
        <v>1600</v>
      </c>
      <c r="AE19" s="1">
        <v>0</v>
      </c>
      <c r="AF19" s="1">
        <v>1600</v>
      </c>
      <c r="AG19" s="1">
        <v>8853</v>
      </c>
      <c r="AH19" s="1">
        <v>2909</v>
      </c>
      <c r="AI19" s="1">
        <v>11762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22508</v>
      </c>
      <c r="AQ19" s="1">
        <v>5854</v>
      </c>
      <c r="AR19" s="1">
        <v>28362</v>
      </c>
      <c r="AS19" s="1">
        <v>1950</v>
      </c>
      <c r="AT19" s="1">
        <v>0</v>
      </c>
      <c r="AU19" s="1">
        <v>1950</v>
      </c>
      <c r="AV19" s="1">
        <v>654</v>
      </c>
      <c r="AW19" s="1">
        <v>183</v>
      </c>
      <c r="AX19" s="1">
        <v>837</v>
      </c>
      <c r="AY19" s="1">
        <v>325</v>
      </c>
      <c r="AZ19" s="1">
        <v>60</v>
      </c>
      <c r="BA19" s="1">
        <v>385</v>
      </c>
      <c r="BB19" s="1">
        <v>563</v>
      </c>
      <c r="BC19" s="1">
        <v>103</v>
      </c>
      <c r="BD19" s="1">
        <v>666</v>
      </c>
      <c r="BE19" s="1">
        <v>0</v>
      </c>
      <c r="BF19" s="1">
        <v>0</v>
      </c>
      <c r="BG19" s="1">
        <v>0</v>
      </c>
      <c r="BH19" s="1">
        <v>3492</v>
      </c>
      <c r="BI19" s="1">
        <v>346</v>
      </c>
      <c r="BJ19" s="1">
        <v>3838</v>
      </c>
      <c r="BK19" s="9">
        <v>3300</v>
      </c>
      <c r="BL19" s="9">
        <v>0</v>
      </c>
      <c r="BM19" s="9">
        <v>3300</v>
      </c>
      <c r="BN19" s="9">
        <v>990</v>
      </c>
      <c r="BO19" s="9">
        <v>0</v>
      </c>
      <c r="BP19" s="9">
        <v>990</v>
      </c>
      <c r="BQ19" s="1">
        <v>0</v>
      </c>
      <c r="BR19" s="1">
        <v>0</v>
      </c>
      <c r="BS19" s="1">
        <v>0</v>
      </c>
      <c r="BT19" s="12">
        <f t="shared" si="0"/>
        <v>4290</v>
      </c>
      <c r="BU19" s="12">
        <f t="shared" si="1"/>
        <v>0</v>
      </c>
      <c r="BV19" s="12">
        <f t="shared" si="2"/>
        <v>4290</v>
      </c>
      <c r="BW19" s="1">
        <v>26000</v>
      </c>
      <c r="BX19" s="1">
        <v>6200</v>
      </c>
      <c r="BY19" s="1">
        <v>32200</v>
      </c>
      <c r="BZ19" s="1">
        <v>312000</v>
      </c>
      <c r="CA19" s="1">
        <v>74400</v>
      </c>
      <c r="CB19" s="1">
        <v>386400</v>
      </c>
      <c r="CC19" s="1">
        <v>6200</v>
      </c>
      <c r="CD19" s="1">
        <v>20357</v>
      </c>
      <c r="CE19" s="1">
        <v>5812</v>
      </c>
      <c r="CF19" s="1">
        <v>26169</v>
      </c>
      <c r="CG19" s="1">
        <v>1800</v>
      </c>
      <c r="CH19" s="1">
        <v>0</v>
      </c>
      <c r="CI19" s="1">
        <v>1800</v>
      </c>
      <c r="CJ19" s="1">
        <v>200</v>
      </c>
      <c r="CK19" s="1">
        <v>0</v>
      </c>
      <c r="CL19" s="1">
        <v>200</v>
      </c>
      <c r="CM19" s="1">
        <v>151</v>
      </c>
      <c r="CN19" s="1">
        <v>42</v>
      </c>
      <c r="CO19" s="1">
        <v>193</v>
      </c>
      <c r="CP19" s="1">
        <v>2</v>
      </c>
    </row>
    <row r="20" spans="1:94" x14ac:dyDescent="0.25">
      <c r="A20" s="2" t="s">
        <v>116</v>
      </c>
      <c r="B20" s="3" t="s">
        <v>164</v>
      </c>
      <c r="C20" s="4" t="s">
        <v>194</v>
      </c>
      <c r="D20" s="5" t="s">
        <v>198</v>
      </c>
      <c r="G20" s="1" t="s">
        <v>94</v>
      </c>
      <c r="H20" s="1" t="s">
        <v>201</v>
      </c>
      <c r="I20" s="1" t="s">
        <v>96</v>
      </c>
      <c r="K20" s="1">
        <v>27020</v>
      </c>
      <c r="L20" s="6">
        <v>7.1333036112349535E-2</v>
      </c>
      <c r="M20" s="7">
        <v>7.1333036112349535E-2</v>
      </c>
      <c r="N20" s="8" t="s">
        <v>253</v>
      </c>
      <c r="O20" s="8" t="s">
        <v>203</v>
      </c>
      <c r="P20" s="1" t="s">
        <v>222</v>
      </c>
      <c r="Q20" s="1" t="s">
        <v>252</v>
      </c>
      <c r="R20" s="1">
        <v>1600</v>
      </c>
      <c r="U20" s="1">
        <v>7500</v>
      </c>
      <c r="V20" s="1">
        <v>500</v>
      </c>
      <c r="W20" s="1">
        <v>8000</v>
      </c>
      <c r="X20" s="1">
        <v>7000</v>
      </c>
      <c r="Y20" s="1">
        <v>0</v>
      </c>
      <c r="Z20" s="1">
        <v>7000</v>
      </c>
      <c r="AA20" s="1">
        <v>1000</v>
      </c>
      <c r="AB20" s="1">
        <v>0</v>
      </c>
      <c r="AC20" s="1">
        <v>1000</v>
      </c>
      <c r="AD20" s="1">
        <v>1600</v>
      </c>
      <c r="AE20" s="1">
        <v>0</v>
      </c>
      <c r="AF20" s="1">
        <v>1600</v>
      </c>
      <c r="AG20" s="1">
        <v>2202</v>
      </c>
      <c r="AH20" s="1">
        <v>820</v>
      </c>
      <c r="AI20" s="1">
        <v>3022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19302</v>
      </c>
      <c r="AQ20" s="1">
        <v>1320</v>
      </c>
      <c r="AR20" s="1">
        <v>20622</v>
      </c>
      <c r="AS20" s="1">
        <v>1599</v>
      </c>
      <c r="AT20" s="1">
        <v>172</v>
      </c>
      <c r="AU20" s="1">
        <v>1771</v>
      </c>
      <c r="AV20" s="1">
        <v>543</v>
      </c>
      <c r="AW20" s="1">
        <v>43</v>
      </c>
      <c r="AX20" s="1">
        <v>586</v>
      </c>
      <c r="AY20" s="1">
        <v>361</v>
      </c>
      <c r="AZ20" s="1">
        <v>24</v>
      </c>
      <c r="BA20" s="1">
        <v>385</v>
      </c>
      <c r="BB20" s="1">
        <v>625</v>
      </c>
      <c r="BC20" s="1">
        <v>41</v>
      </c>
      <c r="BD20" s="1">
        <v>666</v>
      </c>
      <c r="BE20" s="1">
        <v>0</v>
      </c>
      <c r="BF20" s="1">
        <v>0</v>
      </c>
      <c r="BG20" s="1">
        <v>0</v>
      </c>
      <c r="BH20" s="1">
        <v>3128</v>
      </c>
      <c r="BI20" s="1">
        <v>280</v>
      </c>
      <c r="BJ20" s="1">
        <v>3408</v>
      </c>
      <c r="BK20" s="9">
        <v>2300</v>
      </c>
      <c r="BL20" s="9">
        <v>0</v>
      </c>
      <c r="BM20" s="9">
        <v>2300</v>
      </c>
      <c r="BN20" s="9">
        <v>690</v>
      </c>
      <c r="BO20" s="9">
        <v>0</v>
      </c>
      <c r="BP20" s="9">
        <v>690</v>
      </c>
      <c r="BQ20" s="1">
        <v>0</v>
      </c>
      <c r="BR20" s="1">
        <v>0</v>
      </c>
      <c r="BS20" s="1">
        <v>0</v>
      </c>
      <c r="BT20" s="12">
        <f t="shared" si="0"/>
        <v>2990</v>
      </c>
      <c r="BU20" s="12">
        <f t="shared" si="1"/>
        <v>0</v>
      </c>
      <c r="BV20" s="12">
        <f t="shared" si="2"/>
        <v>2990</v>
      </c>
      <c r="BW20" s="1">
        <v>22430</v>
      </c>
      <c r="BX20" s="1">
        <v>1600</v>
      </c>
      <c r="BY20" s="1">
        <v>24030</v>
      </c>
      <c r="BZ20" s="1">
        <v>269160</v>
      </c>
      <c r="CA20" s="1">
        <v>19200</v>
      </c>
      <c r="CB20" s="1">
        <v>288360</v>
      </c>
      <c r="CC20" s="1">
        <v>1600</v>
      </c>
      <c r="CD20" s="1">
        <v>17500</v>
      </c>
      <c r="CE20" s="1">
        <v>1152</v>
      </c>
      <c r="CF20" s="1">
        <v>18652</v>
      </c>
      <c r="CG20" s="1">
        <v>1476</v>
      </c>
      <c r="CH20" s="1">
        <v>158</v>
      </c>
      <c r="CI20" s="1">
        <v>1634</v>
      </c>
      <c r="CJ20" s="1">
        <v>200</v>
      </c>
      <c r="CK20" s="1">
        <v>0</v>
      </c>
      <c r="CL20" s="1">
        <v>200</v>
      </c>
      <c r="CM20" s="1">
        <v>125</v>
      </c>
      <c r="CN20" s="1">
        <v>10</v>
      </c>
      <c r="CO20" s="1">
        <v>135</v>
      </c>
      <c r="CP20" s="1">
        <v>1</v>
      </c>
    </row>
    <row r="21" spans="1:94" x14ac:dyDescent="0.25">
      <c r="A21" s="2" t="s">
        <v>117</v>
      </c>
      <c r="B21" s="3" t="s">
        <v>165</v>
      </c>
      <c r="C21" s="4" t="s">
        <v>194</v>
      </c>
      <c r="D21" s="5" t="s">
        <v>198</v>
      </c>
      <c r="G21" s="1" t="s">
        <v>94</v>
      </c>
      <c r="H21" s="1" t="s">
        <v>97</v>
      </c>
      <c r="I21" s="1" t="s">
        <v>97</v>
      </c>
      <c r="K21" s="1">
        <v>25193</v>
      </c>
      <c r="L21" s="6">
        <v>4.7163137291892657E-2</v>
      </c>
      <c r="M21" s="7">
        <v>4.7163137291892657E-2</v>
      </c>
      <c r="N21" s="8" t="s">
        <v>253</v>
      </c>
      <c r="O21" s="8" t="s">
        <v>203</v>
      </c>
      <c r="P21" s="1" t="s">
        <v>223</v>
      </c>
      <c r="Q21" s="1" t="s">
        <v>252</v>
      </c>
      <c r="R21" s="1">
        <v>1000</v>
      </c>
      <c r="U21" s="1">
        <v>7000</v>
      </c>
      <c r="V21" s="1">
        <v>500</v>
      </c>
      <c r="W21" s="1">
        <v>7500</v>
      </c>
      <c r="X21" s="1">
        <v>7685</v>
      </c>
      <c r="Y21" s="1">
        <v>0</v>
      </c>
      <c r="Z21" s="1">
        <v>7685</v>
      </c>
      <c r="AA21" s="1">
        <v>1000</v>
      </c>
      <c r="AB21" s="1">
        <v>0</v>
      </c>
      <c r="AC21" s="1">
        <v>1000</v>
      </c>
      <c r="AD21" s="1">
        <v>1600</v>
      </c>
      <c r="AE21" s="1">
        <v>0</v>
      </c>
      <c r="AF21" s="1">
        <v>1600</v>
      </c>
      <c r="AG21" s="1">
        <v>1095</v>
      </c>
      <c r="AH21" s="1">
        <v>303</v>
      </c>
      <c r="AI21" s="1">
        <v>1398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18380</v>
      </c>
      <c r="AQ21" s="1">
        <v>803</v>
      </c>
      <c r="AR21" s="1">
        <v>19183</v>
      </c>
      <c r="AS21" s="1">
        <v>1390</v>
      </c>
      <c r="AT21" s="1">
        <v>105</v>
      </c>
      <c r="AU21" s="1">
        <v>1495</v>
      </c>
      <c r="AV21" s="1">
        <v>513</v>
      </c>
      <c r="AW21" s="1">
        <v>26</v>
      </c>
      <c r="AX21" s="1">
        <v>539</v>
      </c>
      <c r="AY21" s="1">
        <v>337</v>
      </c>
      <c r="AZ21" s="1">
        <v>24</v>
      </c>
      <c r="BA21" s="1">
        <v>361</v>
      </c>
      <c r="BB21" s="1">
        <v>583</v>
      </c>
      <c r="BC21" s="1">
        <v>42</v>
      </c>
      <c r="BD21" s="1">
        <v>625</v>
      </c>
      <c r="BE21" s="1">
        <v>0</v>
      </c>
      <c r="BF21" s="1">
        <v>0</v>
      </c>
      <c r="BG21" s="1">
        <v>0</v>
      </c>
      <c r="BH21" s="1">
        <v>2823</v>
      </c>
      <c r="BI21" s="1">
        <v>197</v>
      </c>
      <c r="BJ21" s="1">
        <v>3020</v>
      </c>
      <c r="BK21" s="9">
        <v>2300</v>
      </c>
      <c r="BL21" s="9">
        <v>0</v>
      </c>
      <c r="BM21" s="9">
        <v>2300</v>
      </c>
      <c r="BN21" s="9">
        <v>690</v>
      </c>
      <c r="BO21" s="9">
        <v>0</v>
      </c>
      <c r="BP21" s="9">
        <v>690</v>
      </c>
      <c r="BQ21" s="1">
        <v>0</v>
      </c>
      <c r="BR21" s="1">
        <v>0</v>
      </c>
      <c r="BS21" s="1">
        <v>0</v>
      </c>
      <c r="BT21" s="12">
        <f t="shared" si="0"/>
        <v>2990</v>
      </c>
      <c r="BU21" s="12">
        <f t="shared" si="1"/>
        <v>0</v>
      </c>
      <c r="BV21" s="12">
        <f t="shared" si="2"/>
        <v>2990</v>
      </c>
      <c r="BW21" s="1">
        <v>21203</v>
      </c>
      <c r="BX21" s="1">
        <v>1000</v>
      </c>
      <c r="BY21" s="1">
        <v>22203</v>
      </c>
      <c r="BZ21" s="1">
        <v>254436</v>
      </c>
      <c r="CA21" s="1">
        <v>12000</v>
      </c>
      <c r="CB21" s="1">
        <v>266436</v>
      </c>
      <c r="CC21" s="1">
        <v>1000</v>
      </c>
      <c r="CD21" s="1">
        <v>16778</v>
      </c>
      <c r="CE21" s="1">
        <v>701</v>
      </c>
      <c r="CF21" s="1">
        <v>17479</v>
      </c>
      <c r="CG21" s="1">
        <v>1283</v>
      </c>
      <c r="CH21" s="1">
        <v>96</v>
      </c>
      <c r="CI21" s="1">
        <v>1379</v>
      </c>
      <c r="CJ21" s="1">
        <v>200</v>
      </c>
      <c r="CK21" s="1">
        <v>0</v>
      </c>
      <c r="CL21" s="1">
        <v>200</v>
      </c>
      <c r="CM21" s="1">
        <v>118</v>
      </c>
      <c r="CN21" s="1">
        <v>6</v>
      </c>
      <c r="CO21" s="1">
        <v>124</v>
      </c>
      <c r="CP21" s="1">
        <v>1</v>
      </c>
    </row>
    <row r="22" spans="1:94" x14ac:dyDescent="0.25">
      <c r="A22" s="2" t="s">
        <v>118</v>
      </c>
      <c r="B22" s="3" t="s">
        <v>166</v>
      </c>
      <c r="C22" s="4" t="s">
        <v>194</v>
      </c>
      <c r="D22" s="5" t="s">
        <v>196</v>
      </c>
      <c r="G22" s="1" t="s">
        <v>94</v>
      </c>
      <c r="H22" s="1" t="s">
        <v>95</v>
      </c>
      <c r="I22" s="1" t="s">
        <v>96</v>
      </c>
      <c r="K22" s="1">
        <v>35754</v>
      </c>
      <c r="L22" s="6">
        <v>0.11321822813472969</v>
      </c>
      <c r="M22" s="7">
        <v>0.11321822813472969</v>
      </c>
      <c r="N22" s="8" t="s">
        <v>253</v>
      </c>
      <c r="O22" s="8" t="s">
        <v>203</v>
      </c>
      <c r="P22" s="1" t="s">
        <v>224</v>
      </c>
      <c r="Q22" s="1" t="s">
        <v>252</v>
      </c>
      <c r="R22" s="1">
        <v>3200</v>
      </c>
      <c r="U22" s="1">
        <v>10000</v>
      </c>
      <c r="V22" s="1">
        <v>0</v>
      </c>
      <c r="W22" s="1">
        <v>10000</v>
      </c>
      <c r="X22" s="1">
        <v>9000</v>
      </c>
      <c r="Y22" s="1">
        <v>0</v>
      </c>
      <c r="Z22" s="1">
        <v>9000</v>
      </c>
      <c r="AA22" s="1">
        <v>800</v>
      </c>
      <c r="AB22" s="1">
        <v>200</v>
      </c>
      <c r="AC22" s="1">
        <v>1000</v>
      </c>
      <c r="AD22" s="1">
        <v>1600</v>
      </c>
      <c r="AE22" s="1">
        <v>0</v>
      </c>
      <c r="AF22" s="1">
        <v>1600</v>
      </c>
      <c r="AG22" s="1">
        <v>3600</v>
      </c>
      <c r="AH22" s="1">
        <v>3000</v>
      </c>
      <c r="AI22" s="1">
        <v>6600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25000</v>
      </c>
      <c r="AQ22" s="1">
        <v>3200</v>
      </c>
      <c r="AR22" s="1">
        <v>28200</v>
      </c>
      <c r="AS22" s="1">
        <v>1950</v>
      </c>
      <c r="AT22" s="1">
        <v>0</v>
      </c>
      <c r="AU22" s="1">
        <v>1950</v>
      </c>
      <c r="AV22" s="1">
        <v>0</v>
      </c>
      <c r="AW22" s="1">
        <v>0</v>
      </c>
      <c r="AX22" s="1">
        <v>0</v>
      </c>
      <c r="AY22" s="1">
        <v>481</v>
      </c>
      <c r="AZ22" s="1">
        <v>0</v>
      </c>
      <c r="BA22" s="1">
        <v>481</v>
      </c>
      <c r="BB22" s="1">
        <v>833</v>
      </c>
      <c r="BC22" s="1">
        <v>0</v>
      </c>
      <c r="BD22" s="1">
        <v>833</v>
      </c>
      <c r="BE22" s="1">
        <v>0</v>
      </c>
      <c r="BF22" s="1">
        <v>0</v>
      </c>
      <c r="BG22" s="1">
        <v>0</v>
      </c>
      <c r="BH22" s="1">
        <v>3264</v>
      </c>
      <c r="BI22" s="1">
        <v>0</v>
      </c>
      <c r="BJ22" s="1">
        <v>3264</v>
      </c>
      <c r="BK22" s="9">
        <v>3300</v>
      </c>
      <c r="BL22" s="9">
        <v>0</v>
      </c>
      <c r="BM22" s="9">
        <v>3300</v>
      </c>
      <c r="BN22" s="9">
        <v>990</v>
      </c>
      <c r="BO22" s="9">
        <v>0</v>
      </c>
      <c r="BP22" s="9">
        <v>990</v>
      </c>
      <c r="BQ22" s="1">
        <v>0</v>
      </c>
      <c r="BR22" s="1">
        <v>0</v>
      </c>
      <c r="BS22" s="1">
        <v>0</v>
      </c>
      <c r="BT22" s="12">
        <f t="shared" si="0"/>
        <v>4290</v>
      </c>
      <c r="BU22" s="12">
        <f t="shared" si="1"/>
        <v>0</v>
      </c>
      <c r="BV22" s="12">
        <f t="shared" si="2"/>
        <v>4290</v>
      </c>
      <c r="BW22" s="1">
        <v>28264</v>
      </c>
      <c r="BX22" s="1">
        <v>3200</v>
      </c>
      <c r="BY22" s="1">
        <v>31464</v>
      </c>
      <c r="BZ22" s="1">
        <v>339168</v>
      </c>
      <c r="CA22" s="1">
        <v>38400</v>
      </c>
      <c r="CB22" s="1">
        <v>377568</v>
      </c>
      <c r="CC22" s="1">
        <v>3200</v>
      </c>
      <c r="CD22" s="1">
        <v>23000</v>
      </c>
      <c r="CE22" s="1">
        <v>3200</v>
      </c>
      <c r="CF22" s="1">
        <v>26200</v>
      </c>
      <c r="CG22" s="1">
        <v>1800</v>
      </c>
      <c r="CH22" s="1">
        <v>0</v>
      </c>
      <c r="CI22" s="1">
        <v>1800</v>
      </c>
      <c r="CJ22" s="1">
        <v>200</v>
      </c>
      <c r="CK22" s="1">
        <v>0</v>
      </c>
      <c r="CL22" s="1">
        <v>200</v>
      </c>
      <c r="CM22" s="1">
        <v>0</v>
      </c>
      <c r="CN22" s="1">
        <v>0</v>
      </c>
      <c r="CO22" s="1">
        <v>0</v>
      </c>
      <c r="CP22" s="1">
        <v>2</v>
      </c>
    </row>
    <row r="23" spans="1:94" x14ac:dyDescent="0.25">
      <c r="A23" s="2" t="s">
        <v>119</v>
      </c>
      <c r="B23" s="3" t="s">
        <v>167</v>
      </c>
      <c r="C23" s="4" t="s">
        <v>194</v>
      </c>
      <c r="D23" s="5" t="s">
        <v>198</v>
      </c>
      <c r="G23" s="1" t="s">
        <v>94</v>
      </c>
      <c r="H23" s="1" t="s">
        <v>201</v>
      </c>
      <c r="I23" s="1" t="s">
        <v>96</v>
      </c>
      <c r="K23" s="1">
        <v>29760</v>
      </c>
      <c r="L23" s="6">
        <v>6.3567739372268575E-2</v>
      </c>
      <c r="M23" s="7">
        <v>6.3567739372268575E-2</v>
      </c>
      <c r="N23" s="8" t="s">
        <v>253</v>
      </c>
      <c r="O23" s="8" t="s">
        <v>203</v>
      </c>
      <c r="P23" s="1" t="s">
        <v>225</v>
      </c>
      <c r="Q23" s="1" t="s">
        <v>252</v>
      </c>
      <c r="R23" s="1">
        <v>1600</v>
      </c>
      <c r="U23" s="1">
        <v>8000</v>
      </c>
      <c r="V23" s="1">
        <v>0</v>
      </c>
      <c r="W23" s="1">
        <v>8000</v>
      </c>
      <c r="X23" s="1">
        <v>7000</v>
      </c>
      <c r="Y23" s="1">
        <v>0</v>
      </c>
      <c r="Z23" s="1">
        <v>7000</v>
      </c>
      <c r="AA23" s="1">
        <v>800</v>
      </c>
      <c r="AB23" s="1">
        <v>200</v>
      </c>
      <c r="AC23" s="1">
        <v>1000</v>
      </c>
      <c r="AD23" s="1">
        <v>1600</v>
      </c>
      <c r="AE23" s="1">
        <v>0</v>
      </c>
      <c r="AF23" s="1">
        <v>1600</v>
      </c>
      <c r="AG23" s="1">
        <v>4197</v>
      </c>
      <c r="AH23" s="1">
        <v>1306</v>
      </c>
      <c r="AI23" s="1">
        <v>5503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21597</v>
      </c>
      <c r="AQ23" s="1">
        <v>1506</v>
      </c>
      <c r="AR23" s="1">
        <v>23103</v>
      </c>
      <c r="AS23" s="1">
        <v>1898</v>
      </c>
      <c r="AT23" s="1">
        <v>52</v>
      </c>
      <c r="AU23" s="1">
        <v>1950</v>
      </c>
      <c r="AV23" s="1">
        <v>624</v>
      </c>
      <c r="AW23" s="1">
        <v>42</v>
      </c>
      <c r="AX23" s="1">
        <v>666</v>
      </c>
      <c r="AY23" s="1">
        <v>385</v>
      </c>
      <c r="AZ23" s="1">
        <v>0</v>
      </c>
      <c r="BA23" s="1">
        <v>385</v>
      </c>
      <c r="BB23" s="1">
        <v>666</v>
      </c>
      <c r="BC23" s="1">
        <v>0</v>
      </c>
      <c r="BD23" s="1">
        <v>666</v>
      </c>
      <c r="BE23" s="1">
        <v>0</v>
      </c>
      <c r="BF23" s="1">
        <v>0</v>
      </c>
      <c r="BG23" s="1">
        <v>0</v>
      </c>
      <c r="BH23" s="1">
        <v>3573</v>
      </c>
      <c r="BI23" s="1">
        <v>94</v>
      </c>
      <c r="BJ23" s="1">
        <v>3667</v>
      </c>
      <c r="BK23" s="9">
        <v>2300</v>
      </c>
      <c r="BL23" s="9">
        <v>0</v>
      </c>
      <c r="BM23" s="9">
        <v>2300</v>
      </c>
      <c r="BN23" s="9">
        <v>690</v>
      </c>
      <c r="BO23" s="9">
        <v>0</v>
      </c>
      <c r="BP23" s="9">
        <v>690</v>
      </c>
      <c r="BQ23" s="1">
        <v>0</v>
      </c>
      <c r="BR23" s="1">
        <v>0</v>
      </c>
      <c r="BS23" s="1">
        <v>0</v>
      </c>
      <c r="BT23" s="12">
        <f t="shared" si="0"/>
        <v>2990</v>
      </c>
      <c r="BU23" s="12">
        <f t="shared" si="1"/>
        <v>0</v>
      </c>
      <c r="BV23" s="12">
        <f t="shared" si="2"/>
        <v>2990</v>
      </c>
      <c r="BW23" s="1">
        <v>25170</v>
      </c>
      <c r="BX23" s="1">
        <v>1600</v>
      </c>
      <c r="BY23" s="1">
        <v>26770</v>
      </c>
      <c r="BZ23" s="1">
        <v>302040</v>
      </c>
      <c r="CA23" s="1">
        <v>19200</v>
      </c>
      <c r="CB23" s="1">
        <v>321240</v>
      </c>
      <c r="CC23" s="1">
        <v>1600</v>
      </c>
      <c r="CD23" s="1">
        <v>19501</v>
      </c>
      <c r="CE23" s="1">
        <v>1448</v>
      </c>
      <c r="CF23" s="1">
        <v>20949</v>
      </c>
      <c r="CG23" s="1">
        <v>1752</v>
      </c>
      <c r="CH23" s="1">
        <v>48</v>
      </c>
      <c r="CI23" s="1">
        <v>1800</v>
      </c>
      <c r="CJ23" s="1">
        <v>200</v>
      </c>
      <c r="CK23" s="1">
        <v>0</v>
      </c>
      <c r="CL23" s="1">
        <v>200</v>
      </c>
      <c r="CM23" s="1">
        <v>144</v>
      </c>
      <c r="CN23" s="1">
        <v>10</v>
      </c>
      <c r="CO23" s="1">
        <v>154</v>
      </c>
      <c r="CP23" s="1">
        <v>1</v>
      </c>
    </row>
    <row r="24" spans="1:94" x14ac:dyDescent="0.25">
      <c r="A24" s="2" t="s">
        <v>120</v>
      </c>
      <c r="B24" s="3" t="s">
        <v>168</v>
      </c>
      <c r="C24" s="4" t="s">
        <v>194</v>
      </c>
      <c r="D24" s="5" t="s">
        <v>198</v>
      </c>
      <c r="G24" s="1" t="s">
        <v>94</v>
      </c>
      <c r="H24" s="1" t="s">
        <v>97</v>
      </c>
      <c r="I24" s="1" t="s">
        <v>97</v>
      </c>
      <c r="K24" s="1">
        <v>22800</v>
      </c>
      <c r="L24" s="6">
        <v>5.3163211057947898E-2</v>
      </c>
      <c r="M24" s="7">
        <v>5.3163211057947898E-2</v>
      </c>
      <c r="N24" s="8" t="s">
        <v>253</v>
      </c>
      <c r="O24" s="8" t="s">
        <v>203</v>
      </c>
      <c r="P24" s="1" t="s">
        <v>226</v>
      </c>
      <c r="Q24" s="1" t="s">
        <v>252</v>
      </c>
      <c r="R24" s="1">
        <v>1000</v>
      </c>
      <c r="U24" s="1">
        <v>7000</v>
      </c>
      <c r="V24" s="1">
        <v>0</v>
      </c>
      <c r="W24" s="1">
        <v>7000</v>
      </c>
      <c r="X24" s="1">
        <v>5500</v>
      </c>
      <c r="Y24" s="1">
        <v>0</v>
      </c>
      <c r="Z24" s="1">
        <v>5500</v>
      </c>
      <c r="AA24" s="1">
        <v>800</v>
      </c>
      <c r="AB24" s="1">
        <v>200</v>
      </c>
      <c r="AC24" s="1">
        <v>1000</v>
      </c>
      <c r="AD24" s="1">
        <v>1600</v>
      </c>
      <c r="AE24" s="1">
        <v>0</v>
      </c>
      <c r="AF24" s="1">
        <v>1600</v>
      </c>
      <c r="AG24" s="1">
        <v>1172</v>
      </c>
      <c r="AH24" s="1">
        <v>665</v>
      </c>
      <c r="AI24" s="1">
        <v>1837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16072</v>
      </c>
      <c r="AQ24" s="1">
        <v>865</v>
      </c>
      <c r="AR24" s="1">
        <v>16937</v>
      </c>
      <c r="AS24" s="1">
        <v>1374</v>
      </c>
      <c r="AT24" s="1">
        <v>113</v>
      </c>
      <c r="AU24" s="1">
        <v>1487</v>
      </c>
      <c r="AV24" s="1">
        <v>444</v>
      </c>
      <c r="AW24" s="1">
        <v>22</v>
      </c>
      <c r="AX24" s="1">
        <v>466</v>
      </c>
      <c r="AY24" s="1">
        <v>337</v>
      </c>
      <c r="AZ24" s="1">
        <v>0</v>
      </c>
      <c r="BA24" s="1">
        <v>337</v>
      </c>
      <c r="BB24" s="1">
        <v>583</v>
      </c>
      <c r="BC24" s="1">
        <v>0</v>
      </c>
      <c r="BD24" s="1">
        <v>583</v>
      </c>
      <c r="BE24" s="1">
        <v>0</v>
      </c>
      <c r="BF24" s="1">
        <v>0</v>
      </c>
      <c r="BG24" s="1">
        <v>0</v>
      </c>
      <c r="BH24" s="1">
        <v>2738</v>
      </c>
      <c r="BI24" s="1">
        <v>135</v>
      </c>
      <c r="BJ24" s="1">
        <v>2873</v>
      </c>
      <c r="BK24" s="9">
        <v>2300</v>
      </c>
      <c r="BL24" s="9">
        <v>0</v>
      </c>
      <c r="BM24" s="9">
        <v>2300</v>
      </c>
      <c r="BN24" s="9">
        <v>690</v>
      </c>
      <c r="BO24" s="9">
        <v>0</v>
      </c>
      <c r="BP24" s="9">
        <v>690</v>
      </c>
      <c r="BQ24" s="1">
        <v>0</v>
      </c>
      <c r="BR24" s="1">
        <v>0</v>
      </c>
      <c r="BS24" s="1">
        <v>0</v>
      </c>
      <c r="BT24" s="12">
        <f t="shared" si="0"/>
        <v>2990</v>
      </c>
      <c r="BU24" s="12">
        <f t="shared" si="1"/>
        <v>0</v>
      </c>
      <c r="BV24" s="12">
        <f t="shared" si="2"/>
        <v>2990</v>
      </c>
      <c r="BW24" s="1">
        <v>18810</v>
      </c>
      <c r="BX24" s="1">
        <v>1000</v>
      </c>
      <c r="BY24" s="1">
        <v>19810</v>
      </c>
      <c r="BZ24" s="1">
        <v>225720</v>
      </c>
      <c r="CA24" s="1">
        <v>12000</v>
      </c>
      <c r="CB24" s="1">
        <v>237720</v>
      </c>
      <c r="CC24" s="1">
        <v>1000</v>
      </c>
      <c r="CD24" s="1">
        <v>14501</v>
      </c>
      <c r="CE24" s="1">
        <v>756</v>
      </c>
      <c r="CF24" s="1">
        <v>15257</v>
      </c>
      <c r="CG24" s="1">
        <v>1269</v>
      </c>
      <c r="CH24" s="1">
        <v>104</v>
      </c>
      <c r="CI24" s="1">
        <v>1373</v>
      </c>
      <c r="CJ24" s="1">
        <v>200</v>
      </c>
      <c r="CK24" s="1">
        <v>0</v>
      </c>
      <c r="CL24" s="1">
        <v>200</v>
      </c>
      <c r="CM24" s="1">
        <v>103</v>
      </c>
      <c r="CN24" s="1">
        <v>5</v>
      </c>
      <c r="CO24" s="1">
        <v>108</v>
      </c>
      <c r="CP24" s="1">
        <v>1</v>
      </c>
    </row>
    <row r="25" spans="1:94" x14ac:dyDescent="0.25">
      <c r="A25" s="2" t="s">
        <v>121</v>
      </c>
      <c r="B25" s="3" t="s">
        <v>169</v>
      </c>
      <c r="C25" s="4" t="s">
        <v>194</v>
      </c>
      <c r="D25" s="5" t="s">
        <v>198</v>
      </c>
      <c r="G25" s="1" t="s">
        <v>94</v>
      </c>
      <c r="H25" s="1" t="s">
        <v>202</v>
      </c>
      <c r="I25" s="1" t="s">
        <v>96</v>
      </c>
      <c r="K25" s="1">
        <v>26512</v>
      </c>
      <c r="L25" s="6">
        <v>0.12967054077418116</v>
      </c>
      <c r="M25" s="7">
        <v>0.12967054077418116</v>
      </c>
      <c r="N25" s="8" t="s">
        <v>253</v>
      </c>
      <c r="O25" s="8" t="s">
        <v>203</v>
      </c>
      <c r="P25" s="1" t="s">
        <v>227</v>
      </c>
      <c r="Q25" s="1" t="s">
        <v>252</v>
      </c>
      <c r="R25" s="1">
        <v>2700</v>
      </c>
      <c r="U25" s="1">
        <v>6000</v>
      </c>
      <c r="V25" s="1">
        <v>0</v>
      </c>
      <c r="W25" s="1">
        <v>6000</v>
      </c>
      <c r="X25" s="1">
        <v>5000</v>
      </c>
      <c r="Y25" s="1">
        <v>0</v>
      </c>
      <c r="Z25" s="1">
        <v>5000</v>
      </c>
      <c r="AA25" s="1">
        <v>800</v>
      </c>
      <c r="AB25" s="1">
        <v>200</v>
      </c>
      <c r="AC25" s="1">
        <v>1000</v>
      </c>
      <c r="AD25" s="1">
        <v>1600</v>
      </c>
      <c r="AE25" s="1">
        <v>0</v>
      </c>
      <c r="AF25" s="1">
        <v>1600</v>
      </c>
      <c r="AG25" s="1">
        <v>4459</v>
      </c>
      <c r="AH25" s="1">
        <v>2152</v>
      </c>
      <c r="AI25" s="1">
        <v>6611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17859</v>
      </c>
      <c r="AQ25" s="1">
        <v>2352</v>
      </c>
      <c r="AR25" s="1">
        <v>20211</v>
      </c>
      <c r="AS25" s="1">
        <v>1672</v>
      </c>
      <c r="AT25" s="1">
        <v>278</v>
      </c>
      <c r="AU25" s="1">
        <v>1950</v>
      </c>
      <c r="AV25" s="1">
        <v>502</v>
      </c>
      <c r="AW25" s="1">
        <v>70</v>
      </c>
      <c r="AX25" s="1">
        <v>572</v>
      </c>
      <c r="AY25" s="1">
        <v>289</v>
      </c>
      <c r="AZ25" s="1">
        <v>0</v>
      </c>
      <c r="BA25" s="1">
        <v>289</v>
      </c>
      <c r="BB25" s="1">
        <v>500</v>
      </c>
      <c r="BC25" s="1">
        <v>0</v>
      </c>
      <c r="BD25" s="1">
        <v>500</v>
      </c>
      <c r="BE25" s="1">
        <v>0</v>
      </c>
      <c r="BF25" s="1">
        <v>0</v>
      </c>
      <c r="BG25" s="1">
        <v>0</v>
      </c>
      <c r="BH25" s="1">
        <v>2963</v>
      </c>
      <c r="BI25" s="1">
        <v>348</v>
      </c>
      <c r="BJ25" s="1">
        <v>3311</v>
      </c>
      <c r="BK25" s="9">
        <v>2300</v>
      </c>
      <c r="BL25" s="9">
        <v>0</v>
      </c>
      <c r="BM25" s="9">
        <v>2300</v>
      </c>
      <c r="BN25" s="9">
        <v>690</v>
      </c>
      <c r="BO25" s="9">
        <v>0</v>
      </c>
      <c r="BP25" s="9">
        <v>690</v>
      </c>
      <c r="BQ25" s="1">
        <v>0</v>
      </c>
      <c r="BR25" s="1">
        <v>0</v>
      </c>
      <c r="BS25" s="1">
        <v>0</v>
      </c>
      <c r="BT25" s="12">
        <f t="shared" si="0"/>
        <v>2990</v>
      </c>
      <c r="BU25" s="12">
        <f t="shared" si="1"/>
        <v>0</v>
      </c>
      <c r="BV25" s="12">
        <f t="shared" si="2"/>
        <v>2990</v>
      </c>
      <c r="BW25" s="1">
        <v>20822</v>
      </c>
      <c r="BX25" s="1">
        <v>2700</v>
      </c>
      <c r="BY25" s="1">
        <v>23522</v>
      </c>
      <c r="BZ25" s="1">
        <v>249864</v>
      </c>
      <c r="CA25" s="1">
        <v>32400</v>
      </c>
      <c r="CB25" s="1">
        <v>282264</v>
      </c>
      <c r="CC25" s="1">
        <v>2700</v>
      </c>
      <c r="CD25" s="1">
        <v>16000</v>
      </c>
      <c r="CE25" s="1">
        <v>2079</v>
      </c>
      <c r="CF25" s="1">
        <v>18079</v>
      </c>
      <c r="CG25" s="1">
        <v>1543</v>
      </c>
      <c r="CH25" s="1">
        <v>257</v>
      </c>
      <c r="CI25" s="1">
        <v>1800</v>
      </c>
      <c r="CJ25" s="1">
        <v>200</v>
      </c>
      <c r="CK25" s="1">
        <v>0</v>
      </c>
      <c r="CL25" s="1">
        <v>200</v>
      </c>
      <c r="CM25" s="1">
        <v>116</v>
      </c>
      <c r="CN25" s="1">
        <v>16</v>
      </c>
      <c r="CO25" s="1">
        <v>132</v>
      </c>
      <c r="CP25" s="1">
        <v>1</v>
      </c>
    </row>
    <row r="26" spans="1:94" x14ac:dyDescent="0.25">
      <c r="A26" s="2" t="s">
        <v>122</v>
      </c>
      <c r="B26" s="3" t="s">
        <v>170</v>
      </c>
      <c r="C26" s="4" t="s">
        <v>194</v>
      </c>
      <c r="D26" s="5" t="s">
        <v>198</v>
      </c>
      <c r="G26" s="1" t="s">
        <v>94</v>
      </c>
      <c r="H26" s="1" t="s">
        <v>97</v>
      </c>
      <c r="I26" s="1" t="s">
        <v>97</v>
      </c>
      <c r="K26" s="1">
        <v>25160</v>
      </c>
      <c r="L26" s="6">
        <v>4.723665564478035E-2</v>
      </c>
      <c r="M26" s="7">
        <v>4.723665564478035E-2</v>
      </c>
      <c r="N26" s="8" t="s">
        <v>253</v>
      </c>
      <c r="O26" s="8" t="s">
        <v>203</v>
      </c>
      <c r="P26" s="1" t="s">
        <v>228</v>
      </c>
      <c r="Q26" s="1" t="s">
        <v>252</v>
      </c>
      <c r="R26" s="1">
        <v>1000</v>
      </c>
      <c r="U26" s="1">
        <v>8000</v>
      </c>
      <c r="V26" s="1">
        <v>0</v>
      </c>
      <c r="W26" s="1">
        <v>8000</v>
      </c>
      <c r="X26" s="1">
        <v>7000</v>
      </c>
      <c r="Y26" s="1">
        <v>0</v>
      </c>
      <c r="Z26" s="1">
        <v>7000</v>
      </c>
      <c r="AA26" s="1">
        <v>800</v>
      </c>
      <c r="AB26" s="1">
        <v>200</v>
      </c>
      <c r="AC26" s="1">
        <v>1000</v>
      </c>
      <c r="AD26" s="1">
        <v>1600</v>
      </c>
      <c r="AE26" s="1">
        <v>0</v>
      </c>
      <c r="AF26" s="1">
        <v>1600</v>
      </c>
      <c r="AG26" s="1">
        <v>757</v>
      </c>
      <c r="AH26" s="1">
        <v>665</v>
      </c>
      <c r="AI26" s="1">
        <v>1422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18157</v>
      </c>
      <c r="AQ26" s="1">
        <v>865</v>
      </c>
      <c r="AR26" s="1">
        <v>19022</v>
      </c>
      <c r="AS26" s="1">
        <v>1450</v>
      </c>
      <c r="AT26" s="1">
        <v>113</v>
      </c>
      <c r="AU26" s="1">
        <v>1563</v>
      </c>
      <c r="AV26" s="1">
        <v>512</v>
      </c>
      <c r="AW26" s="1">
        <v>22</v>
      </c>
      <c r="AX26" s="1">
        <v>534</v>
      </c>
      <c r="AY26" s="1">
        <v>385</v>
      </c>
      <c r="AZ26" s="1">
        <v>0</v>
      </c>
      <c r="BA26" s="1">
        <v>385</v>
      </c>
      <c r="BB26" s="1">
        <v>666</v>
      </c>
      <c r="BC26" s="1">
        <v>0</v>
      </c>
      <c r="BD26" s="1">
        <v>666</v>
      </c>
      <c r="BE26" s="1">
        <v>0</v>
      </c>
      <c r="BF26" s="1">
        <v>0</v>
      </c>
      <c r="BG26" s="1">
        <v>0</v>
      </c>
      <c r="BH26" s="1">
        <v>3013</v>
      </c>
      <c r="BI26" s="1">
        <v>135</v>
      </c>
      <c r="BJ26" s="1">
        <v>3148</v>
      </c>
      <c r="BK26" s="9">
        <v>2300</v>
      </c>
      <c r="BL26" s="9">
        <v>0</v>
      </c>
      <c r="BM26" s="9">
        <v>2300</v>
      </c>
      <c r="BN26" s="9">
        <v>690</v>
      </c>
      <c r="BO26" s="9">
        <v>0</v>
      </c>
      <c r="BP26" s="9">
        <v>690</v>
      </c>
      <c r="BQ26" s="1">
        <v>0</v>
      </c>
      <c r="BR26" s="1">
        <v>0</v>
      </c>
      <c r="BS26" s="1">
        <v>0</v>
      </c>
      <c r="BT26" s="12">
        <f t="shared" si="0"/>
        <v>2990</v>
      </c>
      <c r="BU26" s="12">
        <f t="shared" si="1"/>
        <v>0</v>
      </c>
      <c r="BV26" s="12">
        <f t="shared" si="2"/>
        <v>2990</v>
      </c>
      <c r="BW26" s="1">
        <v>21170</v>
      </c>
      <c r="BX26" s="1">
        <v>1000</v>
      </c>
      <c r="BY26" s="1">
        <v>22170</v>
      </c>
      <c r="BZ26" s="1">
        <v>254040</v>
      </c>
      <c r="CA26" s="1">
        <v>12000</v>
      </c>
      <c r="CB26" s="1">
        <v>266040</v>
      </c>
      <c r="CC26" s="1">
        <v>1600</v>
      </c>
      <c r="CD26" s="1">
        <v>16500</v>
      </c>
      <c r="CE26" s="1">
        <v>756</v>
      </c>
      <c r="CF26" s="1">
        <v>17256</v>
      </c>
      <c r="CG26" s="1">
        <v>1339</v>
      </c>
      <c r="CH26" s="1">
        <v>104</v>
      </c>
      <c r="CI26" s="1">
        <v>1443</v>
      </c>
      <c r="CJ26" s="1">
        <v>200</v>
      </c>
      <c r="CK26" s="1">
        <v>0</v>
      </c>
      <c r="CL26" s="1">
        <v>200</v>
      </c>
      <c r="CM26" s="1">
        <v>118</v>
      </c>
      <c r="CN26" s="1">
        <v>5</v>
      </c>
      <c r="CO26" s="1">
        <v>123</v>
      </c>
      <c r="CP26" s="1">
        <v>1</v>
      </c>
    </row>
    <row r="27" spans="1:94" x14ac:dyDescent="0.25">
      <c r="A27" s="2" t="s">
        <v>123</v>
      </c>
      <c r="B27" s="3" t="s">
        <v>171</v>
      </c>
      <c r="C27" s="4" t="s">
        <v>194</v>
      </c>
      <c r="D27" s="5" t="s">
        <v>199</v>
      </c>
      <c r="G27" s="1" t="s">
        <v>94</v>
      </c>
      <c r="H27" s="1" t="s">
        <v>201</v>
      </c>
      <c r="I27" s="1" t="s">
        <v>96</v>
      </c>
      <c r="J27" s="1">
        <v>1000</v>
      </c>
      <c r="K27" s="1">
        <v>24105</v>
      </c>
      <c r="L27" s="6">
        <v>0</v>
      </c>
      <c r="M27" s="7">
        <v>0.19895548371051977</v>
      </c>
      <c r="N27" s="8" t="s">
        <v>253</v>
      </c>
      <c r="O27" s="8" t="s">
        <v>203</v>
      </c>
      <c r="P27" s="1" t="s">
        <v>229</v>
      </c>
      <c r="Q27" s="1" t="s">
        <v>252</v>
      </c>
      <c r="R27" s="1">
        <v>0</v>
      </c>
      <c r="U27" s="1">
        <v>7008</v>
      </c>
      <c r="V27" s="1">
        <v>192</v>
      </c>
      <c r="W27" s="1">
        <v>7200</v>
      </c>
      <c r="X27" s="1">
        <v>3309</v>
      </c>
      <c r="Y27" s="1">
        <v>2291</v>
      </c>
      <c r="Z27" s="1">
        <v>5600</v>
      </c>
      <c r="AA27" s="1">
        <v>500</v>
      </c>
      <c r="AB27" s="1">
        <v>500</v>
      </c>
      <c r="AC27" s="1">
        <v>1000</v>
      </c>
      <c r="AD27" s="1">
        <v>1600</v>
      </c>
      <c r="AE27" s="1">
        <v>0</v>
      </c>
      <c r="AF27" s="1">
        <v>1600</v>
      </c>
      <c r="AG27" s="1">
        <v>4514</v>
      </c>
      <c r="AH27" s="1">
        <v>709</v>
      </c>
      <c r="AI27" s="1">
        <v>5223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16931</v>
      </c>
      <c r="AQ27" s="1">
        <v>3692</v>
      </c>
      <c r="AR27" s="1">
        <v>20623</v>
      </c>
      <c r="AS27" s="1">
        <v>1771</v>
      </c>
      <c r="AT27" s="1">
        <v>179</v>
      </c>
      <c r="AU27" s="1">
        <v>1950</v>
      </c>
      <c r="AV27" s="1">
        <v>482</v>
      </c>
      <c r="AW27" s="1">
        <v>104</v>
      </c>
      <c r="AX27" s="1">
        <v>586</v>
      </c>
      <c r="AY27" s="1">
        <v>337</v>
      </c>
      <c r="AZ27" s="1">
        <v>9</v>
      </c>
      <c r="BA27" s="1">
        <v>346</v>
      </c>
      <c r="BB27" s="1">
        <v>584</v>
      </c>
      <c r="BC27" s="1">
        <v>16</v>
      </c>
      <c r="BD27" s="1">
        <v>600</v>
      </c>
      <c r="BE27" s="1">
        <v>0</v>
      </c>
      <c r="BF27" s="1">
        <v>0</v>
      </c>
      <c r="BG27" s="1">
        <v>0</v>
      </c>
      <c r="BH27" s="1">
        <v>3174</v>
      </c>
      <c r="BI27" s="1">
        <v>308</v>
      </c>
      <c r="BJ27" s="1">
        <v>3482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1">
        <v>0</v>
      </c>
      <c r="BR27" s="1">
        <v>0</v>
      </c>
      <c r="BS27" s="1">
        <v>0</v>
      </c>
      <c r="BT27" s="12">
        <f t="shared" si="0"/>
        <v>0</v>
      </c>
      <c r="BU27" s="12">
        <f t="shared" si="1"/>
        <v>0</v>
      </c>
      <c r="BV27" s="12">
        <f t="shared" si="2"/>
        <v>0</v>
      </c>
      <c r="BW27" s="1">
        <v>20105</v>
      </c>
      <c r="BX27" s="1">
        <v>4000</v>
      </c>
      <c r="BY27" s="1">
        <v>24105</v>
      </c>
      <c r="BZ27" s="1">
        <v>241260</v>
      </c>
      <c r="CA27" s="1">
        <v>48000</v>
      </c>
      <c r="CB27" s="1">
        <v>289260</v>
      </c>
      <c r="CC27" s="1">
        <v>3500</v>
      </c>
      <c r="CD27" s="1">
        <v>14985</v>
      </c>
      <c r="CE27" s="1">
        <v>3503</v>
      </c>
      <c r="CF27" s="1">
        <v>18488</v>
      </c>
      <c r="CG27" s="1">
        <v>1635</v>
      </c>
      <c r="CH27" s="1">
        <v>165</v>
      </c>
      <c r="CI27" s="1">
        <v>1800</v>
      </c>
      <c r="CJ27" s="1">
        <v>200</v>
      </c>
      <c r="CK27" s="1">
        <v>0</v>
      </c>
      <c r="CL27" s="1">
        <v>200</v>
      </c>
      <c r="CM27" s="1">
        <v>111</v>
      </c>
      <c r="CN27" s="1">
        <v>24</v>
      </c>
      <c r="CO27" s="1">
        <v>135</v>
      </c>
      <c r="CP27" s="1">
        <v>1</v>
      </c>
    </row>
    <row r="28" spans="1:94" ht="24" x14ac:dyDescent="0.25">
      <c r="A28" s="2" t="s">
        <v>124</v>
      </c>
      <c r="B28" s="3" t="s">
        <v>172</v>
      </c>
      <c r="C28" s="4" t="s">
        <v>194</v>
      </c>
      <c r="D28" s="5" t="s">
        <v>198</v>
      </c>
      <c r="G28" s="1" t="s">
        <v>94</v>
      </c>
      <c r="H28" s="1" t="s">
        <v>97</v>
      </c>
      <c r="I28" s="1" t="s">
        <v>97</v>
      </c>
      <c r="K28" s="1">
        <v>25478</v>
      </c>
      <c r="L28" s="6">
        <v>4.6537602382725245E-2</v>
      </c>
      <c r="M28" s="7">
        <v>4.6537602382725245E-2</v>
      </c>
      <c r="N28" s="8" t="s">
        <v>253</v>
      </c>
      <c r="O28" s="8" t="s">
        <v>203</v>
      </c>
      <c r="P28" s="1" t="s">
        <v>230</v>
      </c>
      <c r="Q28" s="1" t="s">
        <v>252</v>
      </c>
      <c r="R28" s="1">
        <v>1000</v>
      </c>
      <c r="U28" s="1">
        <v>6000</v>
      </c>
      <c r="V28" s="1">
        <v>0</v>
      </c>
      <c r="W28" s="1">
        <v>6000</v>
      </c>
      <c r="X28" s="1">
        <v>5000</v>
      </c>
      <c r="Y28" s="1">
        <v>0</v>
      </c>
      <c r="Z28" s="1">
        <v>5000</v>
      </c>
      <c r="AA28" s="1">
        <v>800</v>
      </c>
      <c r="AB28" s="1">
        <v>200</v>
      </c>
      <c r="AC28" s="1">
        <v>1000</v>
      </c>
      <c r="AD28" s="1">
        <v>1600</v>
      </c>
      <c r="AE28" s="1">
        <v>0</v>
      </c>
      <c r="AF28" s="1">
        <v>1600</v>
      </c>
      <c r="AG28" s="1">
        <v>5032</v>
      </c>
      <c r="AH28" s="1">
        <v>665</v>
      </c>
      <c r="AI28" s="1">
        <v>5697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18432</v>
      </c>
      <c r="AQ28" s="1">
        <v>865</v>
      </c>
      <c r="AR28" s="1">
        <v>19297</v>
      </c>
      <c r="AS28" s="1">
        <v>1746</v>
      </c>
      <c r="AT28" s="1">
        <v>113</v>
      </c>
      <c r="AU28" s="1">
        <v>1859</v>
      </c>
      <c r="AV28" s="1">
        <v>521</v>
      </c>
      <c r="AW28" s="1">
        <v>22</v>
      </c>
      <c r="AX28" s="1">
        <v>543</v>
      </c>
      <c r="AY28" s="1">
        <v>289</v>
      </c>
      <c r="AZ28" s="1">
        <v>0</v>
      </c>
      <c r="BA28" s="1">
        <v>289</v>
      </c>
      <c r="BB28" s="1">
        <v>500</v>
      </c>
      <c r="BC28" s="1">
        <v>0</v>
      </c>
      <c r="BD28" s="1">
        <v>500</v>
      </c>
      <c r="BE28" s="1">
        <v>0</v>
      </c>
      <c r="BF28" s="1">
        <v>0</v>
      </c>
      <c r="BG28" s="1">
        <v>0</v>
      </c>
      <c r="BH28" s="1">
        <v>3056</v>
      </c>
      <c r="BI28" s="1">
        <v>135</v>
      </c>
      <c r="BJ28" s="1">
        <v>3191</v>
      </c>
      <c r="BK28" s="9">
        <v>2300</v>
      </c>
      <c r="BL28" s="9">
        <v>0</v>
      </c>
      <c r="BM28" s="9">
        <v>2300</v>
      </c>
      <c r="BN28" s="9">
        <v>690</v>
      </c>
      <c r="BO28" s="9">
        <v>0</v>
      </c>
      <c r="BP28" s="9">
        <v>690</v>
      </c>
      <c r="BQ28" s="1">
        <v>0</v>
      </c>
      <c r="BR28" s="1">
        <v>0</v>
      </c>
      <c r="BS28" s="1">
        <v>0</v>
      </c>
      <c r="BT28" s="12">
        <f t="shared" si="0"/>
        <v>2990</v>
      </c>
      <c r="BU28" s="12">
        <f t="shared" si="1"/>
        <v>0</v>
      </c>
      <c r="BV28" s="12">
        <f t="shared" si="2"/>
        <v>2990</v>
      </c>
      <c r="BW28" s="1">
        <v>21488</v>
      </c>
      <c r="BX28" s="1">
        <v>1000</v>
      </c>
      <c r="BY28" s="1">
        <v>22488</v>
      </c>
      <c r="BZ28" s="1">
        <v>257856</v>
      </c>
      <c r="CA28" s="1">
        <v>12000</v>
      </c>
      <c r="CB28" s="1">
        <v>269856</v>
      </c>
      <c r="CC28" s="1">
        <v>1000</v>
      </c>
      <c r="CD28" s="1">
        <v>16500</v>
      </c>
      <c r="CE28" s="1">
        <v>756</v>
      </c>
      <c r="CF28" s="1">
        <v>17256</v>
      </c>
      <c r="CG28" s="1">
        <v>1612</v>
      </c>
      <c r="CH28" s="1">
        <v>104</v>
      </c>
      <c r="CI28" s="1">
        <v>1716</v>
      </c>
      <c r="CJ28" s="1">
        <v>200</v>
      </c>
      <c r="CK28" s="1">
        <v>0</v>
      </c>
      <c r="CL28" s="1">
        <v>200</v>
      </c>
      <c r="CM28" s="1">
        <v>120</v>
      </c>
      <c r="CN28" s="1">
        <v>5</v>
      </c>
      <c r="CO28" s="1">
        <v>125</v>
      </c>
      <c r="CP28" s="1">
        <v>1</v>
      </c>
    </row>
    <row r="29" spans="1:94" ht="24" x14ac:dyDescent="0.25">
      <c r="A29" s="2" t="s">
        <v>125</v>
      </c>
      <c r="B29" s="3" t="s">
        <v>173</v>
      </c>
      <c r="C29" s="4" t="s">
        <v>194</v>
      </c>
      <c r="D29" s="5" t="s">
        <v>198</v>
      </c>
      <c r="G29" s="1" t="s">
        <v>94</v>
      </c>
      <c r="H29" s="1" t="s">
        <v>95</v>
      </c>
      <c r="I29" s="1" t="s">
        <v>96</v>
      </c>
      <c r="K29" s="1">
        <v>20999</v>
      </c>
      <c r="L29" s="6">
        <v>0.13916123726990953</v>
      </c>
      <c r="M29" s="7">
        <v>0.13916123726990953</v>
      </c>
      <c r="N29" s="8" t="s">
        <v>253</v>
      </c>
      <c r="O29" s="8" t="s">
        <v>203</v>
      </c>
      <c r="P29" s="1" t="s">
        <v>231</v>
      </c>
      <c r="Q29" s="1" t="s">
        <v>252</v>
      </c>
      <c r="R29" s="1">
        <v>2200</v>
      </c>
      <c r="U29" s="1">
        <v>4000</v>
      </c>
      <c r="V29" s="1">
        <v>1000</v>
      </c>
      <c r="W29" s="1">
        <v>5000</v>
      </c>
      <c r="X29" s="1">
        <v>3000</v>
      </c>
      <c r="Y29" s="1">
        <v>500</v>
      </c>
      <c r="Z29" s="1">
        <v>3500</v>
      </c>
      <c r="AA29" s="1">
        <v>800</v>
      </c>
      <c r="AB29" s="1">
        <v>200</v>
      </c>
      <c r="AC29" s="1">
        <v>1000</v>
      </c>
      <c r="AD29" s="1">
        <v>1600</v>
      </c>
      <c r="AE29" s="1">
        <v>0</v>
      </c>
      <c r="AF29" s="1">
        <v>1600</v>
      </c>
      <c r="AG29" s="1">
        <v>4150</v>
      </c>
      <c r="AH29" s="1">
        <v>139</v>
      </c>
      <c r="AI29" s="1">
        <v>4289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13550</v>
      </c>
      <c r="AQ29" s="1">
        <v>1839</v>
      </c>
      <c r="AR29" s="1">
        <v>15389</v>
      </c>
      <c r="AS29" s="1">
        <v>1372</v>
      </c>
      <c r="AT29" s="1">
        <v>174</v>
      </c>
      <c r="AU29" s="1">
        <v>1546</v>
      </c>
      <c r="AV29" s="1">
        <v>362</v>
      </c>
      <c r="AW29" s="1">
        <v>54</v>
      </c>
      <c r="AX29" s="1">
        <v>416</v>
      </c>
      <c r="AY29" s="1">
        <v>192</v>
      </c>
      <c r="AZ29" s="1">
        <v>49</v>
      </c>
      <c r="BA29" s="1">
        <v>241</v>
      </c>
      <c r="BB29" s="1">
        <v>333</v>
      </c>
      <c r="BC29" s="1">
        <v>84</v>
      </c>
      <c r="BD29" s="1">
        <v>417</v>
      </c>
      <c r="BE29" s="1">
        <v>0</v>
      </c>
      <c r="BF29" s="1">
        <v>0</v>
      </c>
      <c r="BG29" s="1">
        <v>0</v>
      </c>
      <c r="BH29" s="1">
        <v>2259</v>
      </c>
      <c r="BI29" s="1">
        <v>361</v>
      </c>
      <c r="BJ29" s="1">
        <v>2620</v>
      </c>
      <c r="BK29" s="9">
        <v>2300</v>
      </c>
      <c r="BL29" s="9">
        <v>0</v>
      </c>
      <c r="BM29" s="9">
        <v>2300</v>
      </c>
      <c r="BN29" s="9">
        <v>690</v>
      </c>
      <c r="BO29" s="9">
        <v>0</v>
      </c>
      <c r="BP29" s="9">
        <v>690</v>
      </c>
      <c r="BQ29" s="1">
        <v>0</v>
      </c>
      <c r="BR29" s="1">
        <v>0</v>
      </c>
      <c r="BS29" s="1">
        <v>0</v>
      </c>
      <c r="BT29" s="12">
        <f t="shared" si="0"/>
        <v>2990</v>
      </c>
      <c r="BU29" s="12">
        <f t="shared" si="1"/>
        <v>0</v>
      </c>
      <c r="BV29" s="12">
        <f t="shared" si="2"/>
        <v>2990</v>
      </c>
      <c r="BW29" s="1">
        <v>15809</v>
      </c>
      <c r="BX29" s="1">
        <v>2200</v>
      </c>
      <c r="BY29" s="1">
        <v>18009</v>
      </c>
      <c r="BZ29" s="1">
        <v>189708</v>
      </c>
      <c r="CA29" s="1">
        <v>26400</v>
      </c>
      <c r="CB29" s="1">
        <v>216108</v>
      </c>
      <c r="CC29" s="1">
        <v>2200</v>
      </c>
      <c r="CD29" s="1">
        <v>12000</v>
      </c>
      <c r="CE29" s="1">
        <v>1666</v>
      </c>
      <c r="CF29" s="1">
        <v>13666</v>
      </c>
      <c r="CG29" s="1">
        <v>1266</v>
      </c>
      <c r="CH29" s="1">
        <v>161</v>
      </c>
      <c r="CI29" s="1">
        <v>1427</v>
      </c>
      <c r="CJ29" s="1">
        <v>200</v>
      </c>
      <c r="CK29" s="1">
        <v>0</v>
      </c>
      <c r="CL29" s="1">
        <v>200</v>
      </c>
      <c r="CM29" s="1">
        <v>84</v>
      </c>
      <c r="CN29" s="1">
        <v>12</v>
      </c>
      <c r="CO29" s="1">
        <v>96</v>
      </c>
      <c r="CP29" s="1">
        <v>1</v>
      </c>
    </row>
    <row r="30" spans="1:94" ht="24" x14ac:dyDescent="0.25">
      <c r="A30" s="2" t="s">
        <v>126</v>
      </c>
      <c r="B30" s="3" t="s">
        <v>174</v>
      </c>
      <c r="C30" s="4" t="s">
        <v>194</v>
      </c>
      <c r="D30" s="5" t="s">
        <v>196</v>
      </c>
      <c r="G30" s="1" t="s">
        <v>94</v>
      </c>
      <c r="H30" s="1" t="s">
        <v>97</v>
      </c>
      <c r="I30" s="1" t="s">
        <v>97</v>
      </c>
      <c r="K30" s="1">
        <v>39548</v>
      </c>
      <c r="L30" s="6">
        <v>4.7536989720125974E-2</v>
      </c>
      <c r="M30" s="7">
        <v>4.7536989720125974E-2</v>
      </c>
      <c r="N30" s="8" t="s">
        <v>253</v>
      </c>
      <c r="O30" s="8" t="s">
        <v>203</v>
      </c>
      <c r="P30" s="1" t="s">
        <v>232</v>
      </c>
      <c r="Q30" s="1" t="s">
        <v>252</v>
      </c>
      <c r="R30" s="1">
        <v>1600</v>
      </c>
      <c r="U30" s="1">
        <v>13000</v>
      </c>
      <c r="V30" s="1">
        <v>0</v>
      </c>
      <c r="W30" s="1">
        <v>13000</v>
      </c>
      <c r="X30" s="1">
        <v>8500</v>
      </c>
      <c r="Y30" s="1">
        <v>0</v>
      </c>
      <c r="Z30" s="1">
        <v>8500</v>
      </c>
      <c r="AA30" s="1">
        <v>800</v>
      </c>
      <c r="AB30" s="1">
        <v>200</v>
      </c>
      <c r="AC30" s="1">
        <v>1000</v>
      </c>
      <c r="AD30" s="1">
        <v>1600</v>
      </c>
      <c r="AE30" s="1">
        <v>0</v>
      </c>
      <c r="AF30" s="1">
        <v>1600</v>
      </c>
      <c r="AG30" s="1">
        <v>6100</v>
      </c>
      <c r="AH30" s="1">
        <v>1400</v>
      </c>
      <c r="AI30" s="1">
        <v>7500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30000</v>
      </c>
      <c r="AQ30" s="1">
        <v>1600</v>
      </c>
      <c r="AR30" s="1">
        <v>31600</v>
      </c>
      <c r="AS30" s="1">
        <v>1950</v>
      </c>
      <c r="AT30" s="1">
        <v>0</v>
      </c>
      <c r="AU30" s="1">
        <v>1950</v>
      </c>
      <c r="AV30" s="1">
        <v>0</v>
      </c>
      <c r="AW30" s="1">
        <v>0</v>
      </c>
      <c r="AX30" s="1">
        <v>0</v>
      </c>
      <c r="AY30" s="1">
        <v>625</v>
      </c>
      <c r="AZ30" s="1">
        <v>0</v>
      </c>
      <c r="BA30" s="1">
        <v>625</v>
      </c>
      <c r="BB30" s="1">
        <v>1083</v>
      </c>
      <c r="BC30" s="1">
        <v>0</v>
      </c>
      <c r="BD30" s="1">
        <v>1083</v>
      </c>
      <c r="BE30" s="1">
        <v>0</v>
      </c>
      <c r="BF30" s="1">
        <v>0</v>
      </c>
      <c r="BG30" s="1">
        <v>0</v>
      </c>
      <c r="BH30" s="1">
        <v>3658</v>
      </c>
      <c r="BI30" s="1">
        <v>0</v>
      </c>
      <c r="BJ30" s="1">
        <v>3658</v>
      </c>
      <c r="BK30" s="9">
        <v>3300</v>
      </c>
      <c r="BL30" s="9">
        <v>0</v>
      </c>
      <c r="BM30" s="9">
        <v>3300</v>
      </c>
      <c r="BN30" s="9">
        <v>990</v>
      </c>
      <c r="BO30" s="9">
        <v>0</v>
      </c>
      <c r="BP30" s="9">
        <v>990</v>
      </c>
      <c r="BQ30" s="1">
        <v>0</v>
      </c>
      <c r="BR30" s="1">
        <v>0</v>
      </c>
      <c r="BS30" s="1">
        <v>0</v>
      </c>
      <c r="BT30" s="12">
        <f t="shared" si="0"/>
        <v>4290</v>
      </c>
      <c r="BU30" s="12">
        <f t="shared" si="1"/>
        <v>0</v>
      </c>
      <c r="BV30" s="12">
        <f t="shared" si="2"/>
        <v>4290</v>
      </c>
      <c r="BW30" s="1">
        <v>33658</v>
      </c>
      <c r="BX30" s="1">
        <v>1600</v>
      </c>
      <c r="BY30" s="1">
        <v>35258</v>
      </c>
      <c r="BZ30" s="1">
        <v>403896</v>
      </c>
      <c r="CA30" s="1">
        <v>19200</v>
      </c>
      <c r="CB30" s="1">
        <v>423096</v>
      </c>
      <c r="CC30" s="1">
        <v>1600</v>
      </c>
      <c r="CD30" s="1">
        <v>28000</v>
      </c>
      <c r="CE30" s="1">
        <v>1600</v>
      </c>
      <c r="CF30" s="1">
        <v>29600</v>
      </c>
      <c r="CG30" s="1">
        <v>1800</v>
      </c>
      <c r="CH30" s="1">
        <v>0</v>
      </c>
      <c r="CI30" s="1">
        <v>1800</v>
      </c>
      <c r="CJ30" s="1">
        <v>200</v>
      </c>
      <c r="CK30" s="1">
        <v>0</v>
      </c>
      <c r="CL30" s="1">
        <v>200</v>
      </c>
      <c r="CM30" s="1">
        <v>0</v>
      </c>
      <c r="CN30" s="1">
        <v>0</v>
      </c>
      <c r="CO30" s="1">
        <v>0</v>
      </c>
      <c r="CP30" s="1">
        <v>2</v>
      </c>
    </row>
    <row r="31" spans="1:94" ht="24" x14ac:dyDescent="0.25">
      <c r="A31" s="2" t="s">
        <v>127</v>
      </c>
      <c r="B31" s="3" t="s">
        <v>175</v>
      </c>
      <c r="C31" s="4" t="s">
        <v>194</v>
      </c>
      <c r="D31" s="5" t="s">
        <v>200</v>
      </c>
      <c r="G31" s="1" t="s">
        <v>94</v>
      </c>
      <c r="H31" s="1" t="s">
        <v>201</v>
      </c>
      <c r="I31" s="1" t="s">
        <v>96</v>
      </c>
      <c r="K31" s="1">
        <v>68022</v>
      </c>
      <c r="L31" s="6">
        <v>0.10050802236760352</v>
      </c>
      <c r="M31" s="7">
        <v>0.10050802236760352</v>
      </c>
      <c r="N31" s="8" t="s">
        <v>253</v>
      </c>
      <c r="O31" s="8" t="s">
        <v>203</v>
      </c>
      <c r="P31" s="1" t="s">
        <v>233</v>
      </c>
      <c r="Q31" s="1" t="s">
        <v>252</v>
      </c>
      <c r="R31" s="1">
        <v>5500</v>
      </c>
      <c r="U31" s="1">
        <v>15000</v>
      </c>
      <c r="V31" s="1">
        <v>0</v>
      </c>
      <c r="W31" s="1">
        <v>15000</v>
      </c>
      <c r="X31" s="1">
        <v>13000</v>
      </c>
      <c r="Y31" s="1">
        <v>0</v>
      </c>
      <c r="Z31" s="1">
        <v>13000</v>
      </c>
      <c r="AA31" s="1">
        <v>800</v>
      </c>
      <c r="AB31" s="1">
        <v>200</v>
      </c>
      <c r="AC31" s="1">
        <v>1000</v>
      </c>
      <c r="AD31" s="1">
        <v>1600</v>
      </c>
      <c r="AE31" s="1">
        <v>0</v>
      </c>
      <c r="AF31" s="1">
        <v>1600</v>
      </c>
      <c r="AG31" s="1">
        <v>20400</v>
      </c>
      <c r="AH31" s="1">
        <v>5300</v>
      </c>
      <c r="AI31" s="1">
        <v>25700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50800</v>
      </c>
      <c r="AQ31" s="1">
        <v>5500</v>
      </c>
      <c r="AR31" s="1">
        <v>56300</v>
      </c>
      <c r="AS31" s="1">
        <v>1950</v>
      </c>
      <c r="AT31" s="1">
        <v>0</v>
      </c>
      <c r="AU31" s="1">
        <v>1950</v>
      </c>
      <c r="AV31" s="1">
        <v>0</v>
      </c>
      <c r="AW31" s="1">
        <v>0</v>
      </c>
      <c r="AX31" s="1">
        <v>0</v>
      </c>
      <c r="AY31" s="1">
        <v>722</v>
      </c>
      <c r="AZ31" s="1">
        <v>0</v>
      </c>
      <c r="BA31" s="1">
        <v>722</v>
      </c>
      <c r="BB31" s="1">
        <v>1250</v>
      </c>
      <c r="BC31" s="1">
        <v>0</v>
      </c>
      <c r="BD31" s="1">
        <v>1250</v>
      </c>
      <c r="BE31" s="1">
        <v>0</v>
      </c>
      <c r="BF31" s="1">
        <v>0</v>
      </c>
      <c r="BG31" s="1">
        <v>0</v>
      </c>
      <c r="BH31" s="1">
        <v>3922</v>
      </c>
      <c r="BI31" s="1">
        <v>0</v>
      </c>
      <c r="BJ31" s="1">
        <v>3922</v>
      </c>
      <c r="BK31" s="9">
        <v>6000</v>
      </c>
      <c r="BL31" s="9">
        <v>0</v>
      </c>
      <c r="BM31" s="9">
        <v>6000</v>
      </c>
      <c r="BN31" s="9">
        <v>1800</v>
      </c>
      <c r="BO31" s="9">
        <v>0</v>
      </c>
      <c r="BP31" s="9">
        <v>1800</v>
      </c>
      <c r="BQ31" s="1">
        <v>0</v>
      </c>
      <c r="BR31" s="1">
        <v>0</v>
      </c>
      <c r="BS31" s="1">
        <v>0</v>
      </c>
      <c r="BT31" s="12">
        <f t="shared" si="0"/>
        <v>7800</v>
      </c>
      <c r="BU31" s="12">
        <f t="shared" si="1"/>
        <v>0</v>
      </c>
      <c r="BV31" s="12">
        <f t="shared" si="2"/>
        <v>7800</v>
      </c>
      <c r="BW31" s="1">
        <v>54722</v>
      </c>
      <c r="BX31" s="1">
        <v>5500</v>
      </c>
      <c r="BY31" s="1">
        <v>60222</v>
      </c>
      <c r="BZ31" s="1">
        <v>656664</v>
      </c>
      <c r="CA31" s="1">
        <v>66000</v>
      </c>
      <c r="CB31" s="1">
        <v>722664</v>
      </c>
      <c r="CC31" s="1">
        <v>5500</v>
      </c>
      <c r="CD31" s="1">
        <v>48800</v>
      </c>
      <c r="CE31" s="1">
        <v>5500</v>
      </c>
      <c r="CF31" s="1">
        <v>54300</v>
      </c>
      <c r="CG31" s="1">
        <v>1800</v>
      </c>
      <c r="CH31" s="1">
        <v>0</v>
      </c>
      <c r="CI31" s="1">
        <v>1800</v>
      </c>
      <c r="CJ31" s="1">
        <v>200</v>
      </c>
      <c r="CK31" s="1">
        <v>0</v>
      </c>
      <c r="CL31" s="1">
        <v>200</v>
      </c>
      <c r="CM31" s="1">
        <v>0</v>
      </c>
      <c r="CN31" s="1">
        <v>0</v>
      </c>
      <c r="CO31" s="1">
        <v>0</v>
      </c>
      <c r="CP31" s="1">
        <v>3</v>
      </c>
    </row>
    <row r="32" spans="1:94" ht="24" x14ac:dyDescent="0.25">
      <c r="A32" s="2" t="s">
        <v>128</v>
      </c>
      <c r="B32" s="3" t="s">
        <v>176</v>
      </c>
      <c r="C32" s="4" t="s">
        <v>194</v>
      </c>
      <c r="D32" s="5" t="s">
        <v>198</v>
      </c>
      <c r="G32" s="1" t="s">
        <v>94</v>
      </c>
      <c r="H32" s="1" t="s">
        <v>97</v>
      </c>
      <c r="I32" s="1" t="s">
        <v>97</v>
      </c>
      <c r="K32" s="1">
        <v>24812</v>
      </c>
      <c r="L32" s="6">
        <v>4.8026126212659684E-2</v>
      </c>
      <c r="M32" s="7">
        <v>4.8026126212659684E-2</v>
      </c>
      <c r="N32" s="8" t="s">
        <v>253</v>
      </c>
      <c r="O32" s="8" t="s">
        <v>203</v>
      </c>
      <c r="P32" s="1" t="s">
        <v>234</v>
      </c>
      <c r="Q32" s="1" t="s">
        <v>252</v>
      </c>
      <c r="R32" s="1">
        <v>1000</v>
      </c>
      <c r="U32" s="1">
        <v>6000</v>
      </c>
      <c r="V32" s="1">
        <v>0</v>
      </c>
      <c r="W32" s="1">
        <v>6000</v>
      </c>
      <c r="X32" s="1">
        <v>5000</v>
      </c>
      <c r="Y32" s="1">
        <v>0</v>
      </c>
      <c r="Z32" s="1">
        <v>5000</v>
      </c>
      <c r="AA32" s="1">
        <v>800</v>
      </c>
      <c r="AB32" s="1">
        <v>200</v>
      </c>
      <c r="AC32" s="1">
        <v>1000</v>
      </c>
      <c r="AD32" s="1">
        <v>1600</v>
      </c>
      <c r="AE32" s="1">
        <v>0</v>
      </c>
      <c r="AF32" s="1">
        <v>1600</v>
      </c>
      <c r="AG32" s="1">
        <v>4459</v>
      </c>
      <c r="AH32" s="1">
        <v>666</v>
      </c>
      <c r="AI32" s="1">
        <v>5125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17859</v>
      </c>
      <c r="AQ32" s="1">
        <v>866</v>
      </c>
      <c r="AR32" s="1">
        <v>18725</v>
      </c>
      <c r="AS32" s="1">
        <v>1672</v>
      </c>
      <c r="AT32" s="1">
        <v>112</v>
      </c>
      <c r="AU32" s="1">
        <v>1784</v>
      </c>
      <c r="AV32" s="1">
        <v>502</v>
      </c>
      <c r="AW32" s="1">
        <v>22</v>
      </c>
      <c r="AX32" s="1">
        <v>524</v>
      </c>
      <c r="AY32" s="1">
        <v>289</v>
      </c>
      <c r="AZ32" s="1">
        <v>0</v>
      </c>
      <c r="BA32" s="1">
        <v>289</v>
      </c>
      <c r="BB32" s="1">
        <v>500</v>
      </c>
      <c r="BC32" s="1">
        <v>0</v>
      </c>
      <c r="BD32" s="1">
        <v>500</v>
      </c>
      <c r="BE32" s="1">
        <v>0</v>
      </c>
      <c r="BF32" s="1">
        <v>0</v>
      </c>
      <c r="BG32" s="1">
        <v>0</v>
      </c>
      <c r="BH32" s="1">
        <v>2963</v>
      </c>
      <c r="BI32" s="1">
        <v>134</v>
      </c>
      <c r="BJ32" s="1">
        <v>3097</v>
      </c>
      <c r="BK32" s="9">
        <v>2300</v>
      </c>
      <c r="BL32" s="9">
        <v>0</v>
      </c>
      <c r="BM32" s="9">
        <v>2300</v>
      </c>
      <c r="BN32" s="9">
        <v>690</v>
      </c>
      <c r="BO32" s="9">
        <v>0</v>
      </c>
      <c r="BP32" s="9">
        <v>690</v>
      </c>
      <c r="BQ32" s="1">
        <v>0</v>
      </c>
      <c r="BR32" s="1">
        <v>0</v>
      </c>
      <c r="BS32" s="1">
        <v>0</v>
      </c>
      <c r="BT32" s="12">
        <f t="shared" si="0"/>
        <v>2990</v>
      </c>
      <c r="BU32" s="12">
        <f t="shared" si="1"/>
        <v>0</v>
      </c>
      <c r="BV32" s="12">
        <f t="shared" si="2"/>
        <v>2990</v>
      </c>
      <c r="BW32" s="1">
        <v>20822</v>
      </c>
      <c r="BX32" s="1">
        <v>1000</v>
      </c>
      <c r="BY32" s="1">
        <v>21822</v>
      </c>
      <c r="BZ32" s="1">
        <v>249864</v>
      </c>
      <c r="CA32" s="1">
        <v>12000</v>
      </c>
      <c r="CB32" s="1">
        <v>261864</v>
      </c>
      <c r="CC32" s="1">
        <v>1000</v>
      </c>
      <c r="CD32" s="1">
        <v>16000</v>
      </c>
      <c r="CE32" s="1">
        <v>757</v>
      </c>
      <c r="CF32" s="1">
        <v>16757</v>
      </c>
      <c r="CG32" s="1">
        <v>1543</v>
      </c>
      <c r="CH32" s="1">
        <v>104</v>
      </c>
      <c r="CI32" s="1">
        <v>1647</v>
      </c>
      <c r="CJ32" s="1">
        <v>200</v>
      </c>
      <c r="CK32" s="1">
        <v>0</v>
      </c>
      <c r="CL32" s="1">
        <v>200</v>
      </c>
      <c r="CM32" s="1">
        <v>116</v>
      </c>
      <c r="CN32" s="1">
        <v>5</v>
      </c>
      <c r="CO32" s="1">
        <v>121</v>
      </c>
      <c r="CP32" s="1">
        <v>1</v>
      </c>
    </row>
    <row r="33" spans="1:94" ht="24" x14ac:dyDescent="0.25">
      <c r="A33" s="2" t="s">
        <v>129</v>
      </c>
      <c r="B33" s="3" t="s">
        <v>177</v>
      </c>
      <c r="C33" s="4" t="s">
        <v>194</v>
      </c>
      <c r="D33" s="5" t="s">
        <v>198</v>
      </c>
      <c r="G33" s="1" t="s">
        <v>94</v>
      </c>
      <c r="H33" s="1" t="s">
        <v>97</v>
      </c>
      <c r="I33" s="1" t="s">
        <v>97</v>
      </c>
      <c r="K33" s="1">
        <v>25478</v>
      </c>
      <c r="L33" s="6">
        <v>4.6537602382725245E-2</v>
      </c>
      <c r="M33" s="7">
        <v>4.6537602382725245E-2</v>
      </c>
      <c r="N33" s="8" t="s">
        <v>253</v>
      </c>
      <c r="O33" s="8" t="s">
        <v>203</v>
      </c>
      <c r="P33" s="1" t="s">
        <v>235</v>
      </c>
      <c r="Q33" s="1" t="s">
        <v>252</v>
      </c>
      <c r="R33" s="1">
        <v>1000</v>
      </c>
      <c r="U33" s="1">
        <v>6000</v>
      </c>
      <c r="V33" s="1">
        <v>0</v>
      </c>
      <c r="W33" s="1">
        <v>6000</v>
      </c>
      <c r="X33" s="1">
        <v>5000</v>
      </c>
      <c r="Y33" s="1">
        <v>0</v>
      </c>
      <c r="Z33" s="1">
        <v>5000</v>
      </c>
      <c r="AA33" s="1">
        <v>800</v>
      </c>
      <c r="AB33" s="1">
        <v>200</v>
      </c>
      <c r="AC33" s="1">
        <v>1000</v>
      </c>
      <c r="AD33" s="1">
        <v>1600</v>
      </c>
      <c r="AE33" s="1">
        <v>0</v>
      </c>
      <c r="AF33" s="1">
        <v>1600</v>
      </c>
      <c r="AG33" s="1">
        <v>5032</v>
      </c>
      <c r="AH33" s="1">
        <v>665</v>
      </c>
      <c r="AI33" s="1">
        <v>5697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18432</v>
      </c>
      <c r="AQ33" s="1">
        <v>865</v>
      </c>
      <c r="AR33" s="1">
        <v>19297</v>
      </c>
      <c r="AS33" s="1">
        <v>1746</v>
      </c>
      <c r="AT33" s="1">
        <v>113</v>
      </c>
      <c r="AU33" s="1">
        <v>1859</v>
      </c>
      <c r="AV33" s="1">
        <v>521</v>
      </c>
      <c r="AW33" s="1">
        <v>22</v>
      </c>
      <c r="AX33" s="1">
        <v>543</v>
      </c>
      <c r="AY33" s="1">
        <v>289</v>
      </c>
      <c r="AZ33" s="1">
        <v>0</v>
      </c>
      <c r="BA33" s="1">
        <v>289</v>
      </c>
      <c r="BB33" s="1">
        <v>500</v>
      </c>
      <c r="BC33" s="1">
        <v>0</v>
      </c>
      <c r="BD33" s="1">
        <v>500</v>
      </c>
      <c r="BE33" s="1">
        <v>0</v>
      </c>
      <c r="BF33" s="1">
        <v>0</v>
      </c>
      <c r="BG33" s="1">
        <v>0</v>
      </c>
      <c r="BH33" s="1">
        <v>3056</v>
      </c>
      <c r="BI33" s="1">
        <v>135</v>
      </c>
      <c r="BJ33" s="1">
        <v>3191</v>
      </c>
      <c r="BK33" s="9">
        <v>2300</v>
      </c>
      <c r="BL33" s="9">
        <v>0</v>
      </c>
      <c r="BM33" s="9">
        <v>2300</v>
      </c>
      <c r="BN33" s="9">
        <v>690</v>
      </c>
      <c r="BO33" s="9">
        <v>0</v>
      </c>
      <c r="BP33" s="9">
        <v>690</v>
      </c>
      <c r="BQ33" s="1">
        <v>0</v>
      </c>
      <c r="BR33" s="1">
        <v>0</v>
      </c>
      <c r="BS33" s="1">
        <v>0</v>
      </c>
      <c r="BT33" s="12">
        <f t="shared" si="0"/>
        <v>2990</v>
      </c>
      <c r="BU33" s="12">
        <f t="shared" si="1"/>
        <v>0</v>
      </c>
      <c r="BV33" s="12">
        <f t="shared" si="2"/>
        <v>2990</v>
      </c>
      <c r="BW33" s="1">
        <v>21488</v>
      </c>
      <c r="BX33" s="1">
        <v>1000</v>
      </c>
      <c r="BY33" s="1">
        <v>22488</v>
      </c>
      <c r="BZ33" s="1">
        <v>257856</v>
      </c>
      <c r="CA33" s="1">
        <v>12000</v>
      </c>
      <c r="CB33" s="1">
        <v>269856</v>
      </c>
      <c r="CC33" s="1">
        <v>1000</v>
      </c>
      <c r="CD33" s="1">
        <v>16500</v>
      </c>
      <c r="CE33" s="1">
        <v>756</v>
      </c>
      <c r="CF33" s="1">
        <v>17256</v>
      </c>
      <c r="CG33" s="1">
        <v>1612</v>
      </c>
      <c r="CH33" s="1">
        <v>104</v>
      </c>
      <c r="CI33" s="1">
        <v>1716</v>
      </c>
      <c r="CJ33" s="1">
        <v>200</v>
      </c>
      <c r="CK33" s="1">
        <v>0</v>
      </c>
      <c r="CL33" s="1">
        <v>200</v>
      </c>
      <c r="CM33" s="1">
        <v>120</v>
      </c>
      <c r="CN33" s="1">
        <v>5</v>
      </c>
      <c r="CO33" s="1">
        <v>125</v>
      </c>
      <c r="CP33" s="1">
        <v>1</v>
      </c>
    </row>
    <row r="34" spans="1:94" ht="24" x14ac:dyDescent="0.25">
      <c r="A34" s="2" t="s">
        <v>130</v>
      </c>
      <c r="B34" s="3" t="s">
        <v>178</v>
      </c>
      <c r="C34" s="4" t="s">
        <v>194</v>
      </c>
      <c r="D34" s="5" t="s">
        <v>198</v>
      </c>
      <c r="G34" s="1" t="s">
        <v>94</v>
      </c>
      <c r="H34" s="1" t="s">
        <v>201</v>
      </c>
      <c r="I34" s="1" t="s">
        <v>96</v>
      </c>
      <c r="K34" s="1">
        <v>25412</v>
      </c>
      <c r="L34" s="6">
        <v>7.68418019402555E-2</v>
      </c>
      <c r="M34" s="7">
        <v>7.68418019402555E-2</v>
      </c>
      <c r="N34" s="8" t="s">
        <v>253</v>
      </c>
      <c r="O34" s="8" t="s">
        <v>203</v>
      </c>
      <c r="P34" s="1" t="s">
        <v>236</v>
      </c>
      <c r="Q34" s="1" t="s">
        <v>252</v>
      </c>
      <c r="R34" s="1">
        <v>1600</v>
      </c>
      <c r="U34" s="1">
        <v>6000</v>
      </c>
      <c r="V34" s="1">
        <v>0</v>
      </c>
      <c r="W34" s="1">
        <v>6000</v>
      </c>
      <c r="X34" s="1">
        <v>5000</v>
      </c>
      <c r="Y34" s="1">
        <v>0</v>
      </c>
      <c r="Z34" s="1">
        <v>5000</v>
      </c>
      <c r="AA34" s="1">
        <v>800</v>
      </c>
      <c r="AB34" s="1">
        <v>200</v>
      </c>
      <c r="AC34" s="1">
        <v>1000</v>
      </c>
      <c r="AD34" s="1">
        <v>1600</v>
      </c>
      <c r="AE34" s="1">
        <v>0</v>
      </c>
      <c r="AF34" s="1">
        <v>1600</v>
      </c>
      <c r="AG34" s="1">
        <v>4459</v>
      </c>
      <c r="AH34" s="1">
        <v>1182</v>
      </c>
      <c r="AI34" s="1">
        <v>5641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17859</v>
      </c>
      <c r="AQ34" s="1">
        <v>1382</v>
      </c>
      <c r="AR34" s="1">
        <v>19241</v>
      </c>
      <c r="AS34" s="1">
        <v>1672</v>
      </c>
      <c r="AT34" s="1">
        <v>179</v>
      </c>
      <c r="AU34" s="1">
        <v>1851</v>
      </c>
      <c r="AV34" s="1">
        <v>502</v>
      </c>
      <c r="AW34" s="1">
        <v>39</v>
      </c>
      <c r="AX34" s="1">
        <v>541</v>
      </c>
      <c r="AY34" s="1">
        <v>289</v>
      </c>
      <c r="AZ34" s="1">
        <v>0</v>
      </c>
      <c r="BA34" s="1">
        <v>289</v>
      </c>
      <c r="BB34" s="1">
        <v>500</v>
      </c>
      <c r="BC34" s="1">
        <v>0</v>
      </c>
      <c r="BD34" s="1">
        <v>500</v>
      </c>
      <c r="BE34" s="1">
        <v>0</v>
      </c>
      <c r="BF34" s="1">
        <v>0</v>
      </c>
      <c r="BG34" s="1">
        <v>0</v>
      </c>
      <c r="BH34" s="1">
        <v>2963</v>
      </c>
      <c r="BI34" s="1">
        <v>218</v>
      </c>
      <c r="BJ34" s="1">
        <v>3181</v>
      </c>
      <c r="BK34" s="9">
        <v>2300</v>
      </c>
      <c r="BL34" s="9">
        <v>0</v>
      </c>
      <c r="BM34" s="9">
        <v>2300</v>
      </c>
      <c r="BN34" s="9">
        <v>690</v>
      </c>
      <c r="BO34" s="9">
        <v>0</v>
      </c>
      <c r="BP34" s="9">
        <v>690</v>
      </c>
      <c r="BQ34" s="1">
        <v>0</v>
      </c>
      <c r="BR34" s="1">
        <v>0</v>
      </c>
      <c r="BS34" s="1">
        <v>0</v>
      </c>
      <c r="BT34" s="12">
        <f t="shared" si="0"/>
        <v>2990</v>
      </c>
      <c r="BU34" s="12">
        <f t="shared" si="1"/>
        <v>0</v>
      </c>
      <c r="BV34" s="12">
        <f t="shared" si="2"/>
        <v>2990</v>
      </c>
      <c r="BW34" s="1">
        <v>20822</v>
      </c>
      <c r="BX34" s="1">
        <v>1600</v>
      </c>
      <c r="BY34" s="1">
        <v>22422</v>
      </c>
      <c r="BZ34" s="1">
        <v>249864</v>
      </c>
      <c r="CA34" s="1">
        <v>19200</v>
      </c>
      <c r="CB34" s="1">
        <v>269064</v>
      </c>
      <c r="CC34" s="1">
        <v>1600</v>
      </c>
      <c r="CD34" s="1">
        <v>16000</v>
      </c>
      <c r="CE34" s="1">
        <v>1207</v>
      </c>
      <c r="CF34" s="1">
        <v>17207</v>
      </c>
      <c r="CG34" s="1">
        <v>1543</v>
      </c>
      <c r="CH34" s="1">
        <v>166</v>
      </c>
      <c r="CI34" s="1">
        <v>1709</v>
      </c>
      <c r="CJ34" s="1">
        <v>200</v>
      </c>
      <c r="CK34" s="1">
        <v>0</v>
      </c>
      <c r="CL34" s="1">
        <v>200</v>
      </c>
      <c r="CM34" s="1">
        <v>116</v>
      </c>
      <c r="CN34" s="1">
        <v>9</v>
      </c>
      <c r="CO34" s="1">
        <v>125</v>
      </c>
      <c r="CP34" s="1">
        <v>1</v>
      </c>
    </row>
    <row r="35" spans="1:94" ht="24" x14ac:dyDescent="0.25">
      <c r="A35" s="2" t="s">
        <v>131</v>
      </c>
      <c r="B35" s="3" t="s">
        <v>179</v>
      </c>
      <c r="C35" s="4" t="s">
        <v>194</v>
      </c>
      <c r="D35" s="5" t="s">
        <v>198</v>
      </c>
      <c r="G35" s="1" t="s">
        <v>94</v>
      </c>
      <c r="H35" s="1" t="s">
        <v>97</v>
      </c>
      <c r="I35" s="1" t="s">
        <v>97</v>
      </c>
      <c r="K35" s="1">
        <v>24146</v>
      </c>
      <c r="L35" s="6">
        <v>4.9613018456042865E-2</v>
      </c>
      <c r="M35" s="7">
        <v>4.9613018456042865E-2</v>
      </c>
      <c r="N35" s="8" t="s">
        <v>253</v>
      </c>
      <c r="O35" s="8" t="s">
        <v>203</v>
      </c>
      <c r="P35" s="1" t="s">
        <v>237</v>
      </c>
      <c r="Q35" s="1" t="s">
        <v>252</v>
      </c>
      <c r="R35" s="1">
        <v>1000</v>
      </c>
      <c r="U35" s="1">
        <v>6000</v>
      </c>
      <c r="V35" s="1">
        <v>0</v>
      </c>
      <c r="W35" s="1">
        <v>6000</v>
      </c>
      <c r="X35" s="1">
        <v>5000</v>
      </c>
      <c r="Y35" s="1">
        <v>0</v>
      </c>
      <c r="Z35" s="1">
        <v>5000</v>
      </c>
      <c r="AA35" s="1">
        <v>800</v>
      </c>
      <c r="AB35" s="1">
        <v>200</v>
      </c>
      <c r="AC35" s="1">
        <v>1000</v>
      </c>
      <c r="AD35" s="1">
        <v>1600</v>
      </c>
      <c r="AE35" s="1">
        <v>0</v>
      </c>
      <c r="AF35" s="1">
        <v>1600</v>
      </c>
      <c r="AG35" s="1">
        <v>3886</v>
      </c>
      <c r="AH35" s="1">
        <v>666</v>
      </c>
      <c r="AI35" s="1">
        <v>4552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17286</v>
      </c>
      <c r="AQ35" s="1">
        <v>866</v>
      </c>
      <c r="AR35" s="1">
        <v>18152</v>
      </c>
      <c r="AS35" s="1">
        <v>1597</v>
      </c>
      <c r="AT35" s="1">
        <v>113</v>
      </c>
      <c r="AU35" s="1">
        <v>1710</v>
      </c>
      <c r="AV35" s="1">
        <v>484</v>
      </c>
      <c r="AW35" s="1">
        <v>21</v>
      </c>
      <c r="AX35" s="1">
        <v>505</v>
      </c>
      <c r="AY35" s="1">
        <v>289</v>
      </c>
      <c r="AZ35" s="1">
        <v>0</v>
      </c>
      <c r="BA35" s="1">
        <v>289</v>
      </c>
      <c r="BB35" s="1">
        <v>500</v>
      </c>
      <c r="BC35" s="1">
        <v>0</v>
      </c>
      <c r="BD35" s="1">
        <v>500</v>
      </c>
      <c r="BE35" s="1">
        <v>0</v>
      </c>
      <c r="BF35" s="1">
        <v>0</v>
      </c>
      <c r="BG35" s="1">
        <v>0</v>
      </c>
      <c r="BH35" s="1">
        <v>2870</v>
      </c>
      <c r="BI35" s="1">
        <v>134</v>
      </c>
      <c r="BJ35" s="1">
        <v>3004</v>
      </c>
      <c r="BK35" s="9">
        <v>2300</v>
      </c>
      <c r="BL35" s="9">
        <v>0</v>
      </c>
      <c r="BM35" s="9">
        <v>2300</v>
      </c>
      <c r="BN35" s="9">
        <v>690</v>
      </c>
      <c r="BO35" s="9">
        <v>0</v>
      </c>
      <c r="BP35" s="9">
        <v>690</v>
      </c>
      <c r="BQ35" s="1">
        <v>0</v>
      </c>
      <c r="BR35" s="1">
        <v>0</v>
      </c>
      <c r="BS35" s="1">
        <v>0</v>
      </c>
      <c r="BT35" s="12">
        <f t="shared" si="0"/>
        <v>2990</v>
      </c>
      <c r="BU35" s="12">
        <f t="shared" si="1"/>
        <v>0</v>
      </c>
      <c r="BV35" s="12">
        <f t="shared" si="2"/>
        <v>2990</v>
      </c>
      <c r="BW35" s="1">
        <v>20156</v>
      </c>
      <c r="BX35" s="1">
        <v>1000</v>
      </c>
      <c r="BY35" s="1">
        <v>21156</v>
      </c>
      <c r="BZ35" s="1">
        <v>241872</v>
      </c>
      <c r="CA35" s="1">
        <v>12000</v>
      </c>
      <c r="CB35" s="1">
        <v>253872</v>
      </c>
      <c r="CC35" s="1">
        <v>1000</v>
      </c>
      <c r="CD35" s="1">
        <v>15500</v>
      </c>
      <c r="CE35" s="1">
        <v>757</v>
      </c>
      <c r="CF35" s="1">
        <v>16257</v>
      </c>
      <c r="CG35" s="1">
        <v>1474</v>
      </c>
      <c r="CH35" s="1">
        <v>104</v>
      </c>
      <c r="CI35" s="1">
        <v>1578</v>
      </c>
      <c r="CJ35" s="1">
        <v>200</v>
      </c>
      <c r="CK35" s="1">
        <v>0</v>
      </c>
      <c r="CL35" s="1">
        <v>200</v>
      </c>
      <c r="CM35" s="1">
        <v>112</v>
      </c>
      <c r="CN35" s="1">
        <v>5</v>
      </c>
      <c r="CO35" s="1">
        <v>117</v>
      </c>
      <c r="CP35" s="1">
        <v>1</v>
      </c>
    </row>
    <row r="36" spans="1:94" ht="24" x14ac:dyDescent="0.25">
      <c r="A36" s="2" t="s">
        <v>132</v>
      </c>
      <c r="B36" s="3" t="s">
        <v>180</v>
      </c>
      <c r="C36" s="4" t="s">
        <v>194</v>
      </c>
      <c r="D36" s="5" t="s">
        <v>198</v>
      </c>
      <c r="G36" s="1" t="s">
        <v>94</v>
      </c>
      <c r="H36" s="1" t="s">
        <v>201</v>
      </c>
      <c r="I36" s="1" t="s">
        <v>96</v>
      </c>
      <c r="K36" s="1">
        <v>28038</v>
      </c>
      <c r="L36" s="6">
        <v>6.8236096895257586E-2</v>
      </c>
      <c r="M36" s="7">
        <v>6.8236096895257586E-2</v>
      </c>
      <c r="N36" s="8" t="s">
        <v>253</v>
      </c>
      <c r="O36" s="8" t="s">
        <v>203</v>
      </c>
      <c r="P36" s="1" t="s">
        <v>238</v>
      </c>
      <c r="Q36" s="1" t="s">
        <v>252</v>
      </c>
      <c r="R36" s="1">
        <v>1600</v>
      </c>
      <c r="U36" s="1">
        <v>6000</v>
      </c>
      <c r="V36" s="1">
        <v>0</v>
      </c>
      <c r="W36" s="1">
        <v>6000</v>
      </c>
      <c r="X36" s="1">
        <v>5000</v>
      </c>
      <c r="Y36" s="1">
        <v>0</v>
      </c>
      <c r="Z36" s="1">
        <v>5000</v>
      </c>
      <c r="AA36" s="1">
        <v>800</v>
      </c>
      <c r="AB36" s="1">
        <v>200</v>
      </c>
      <c r="AC36" s="1">
        <v>1000</v>
      </c>
      <c r="AD36" s="1">
        <v>1600</v>
      </c>
      <c r="AE36" s="1">
        <v>0</v>
      </c>
      <c r="AF36" s="1">
        <v>1600</v>
      </c>
      <c r="AG36" s="1">
        <v>6733</v>
      </c>
      <c r="AH36" s="1">
        <v>1356</v>
      </c>
      <c r="AI36" s="1">
        <v>8089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20133</v>
      </c>
      <c r="AQ36" s="1">
        <v>1556</v>
      </c>
      <c r="AR36" s="1">
        <v>21689</v>
      </c>
      <c r="AS36" s="1">
        <v>1950</v>
      </c>
      <c r="AT36" s="1">
        <v>0</v>
      </c>
      <c r="AU36" s="1">
        <v>1950</v>
      </c>
      <c r="AV36" s="1">
        <v>576</v>
      </c>
      <c r="AW36" s="1">
        <v>44</v>
      </c>
      <c r="AX36" s="1">
        <v>620</v>
      </c>
      <c r="AY36" s="1">
        <v>289</v>
      </c>
      <c r="AZ36" s="1">
        <v>0</v>
      </c>
      <c r="BA36" s="1">
        <v>289</v>
      </c>
      <c r="BB36" s="1">
        <v>500</v>
      </c>
      <c r="BC36" s="1">
        <v>0</v>
      </c>
      <c r="BD36" s="1">
        <v>500</v>
      </c>
      <c r="BE36" s="1">
        <v>0</v>
      </c>
      <c r="BF36" s="1">
        <v>0</v>
      </c>
      <c r="BG36" s="1">
        <v>0</v>
      </c>
      <c r="BH36" s="1">
        <v>3315</v>
      </c>
      <c r="BI36" s="1">
        <v>44</v>
      </c>
      <c r="BJ36" s="1">
        <v>3359</v>
      </c>
      <c r="BK36" s="9">
        <v>2300</v>
      </c>
      <c r="BL36" s="9">
        <v>0</v>
      </c>
      <c r="BM36" s="9">
        <v>2300</v>
      </c>
      <c r="BN36" s="9">
        <v>690</v>
      </c>
      <c r="BO36" s="9">
        <v>0</v>
      </c>
      <c r="BP36" s="9">
        <v>690</v>
      </c>
      <c r="BQ36" s="1">
        <v>0</v>
      </c>
      <c r="BR36" s="1">
        <v>0</v>
      </c>
      <c r="BS36" s="1">
        <v>0</v>
      </c>
      <c r="BT36" s="12">
        <f t="shared" si="0"/>
        <v>2990</v>
      </c>
      <c r="BU36" s="12">
        <f t="shared" si="1"/>
        <v>0</v>
      </c>
      <c r="BV36" s="12">
        <f t="shared" si="2"/>
        <v>2990</v>
      </c>
      <c r="BW36" s="1">
        <v>23448</v>
      </c>
      <c r="BX36" s="1">
        <v>1600</v>
      </c>
      <c r="BY36" s="1">
        <v>25048</v>
      </c>
      <c r="BZ36" s="1">
        <v>281376</v>
      </c>
      <c r="CA36" s="1">
        <v>19200</v>
      </c>
      <c r="CB36" s="1">
        <v>300576</v>
      </c>
      <c r="CC36" s="1">
        <v>1600</v>
      </c>
      <c r="CD36" s="1">
        <v>18000</v>
      </c>
      <c r="CE36" s="1">
        <v>1546</v>
      </c>
      <c r="CF36" s="1">
        <v>19546</v>
      </c>
      <c r="CG36" s="1">
        <v>1800</v>
      </c>
      <c r="CH36" s="1">
        <v>0</v>
      </c>
      <c r="CI36" s="1">
        <v>1800</v>
      </c>
      <c r="CJ36" s="1">
        <v>200</v>
      </c>
      <c r="CK36" s="1">
        <v>0</v>
      </c>
      <c r="CL36" s="1">
        <v>200</v>
      </c>
      <c r="CM36" s="1">
        <v>133</v>
      </c>
      <c r="CN36" s="1">
        <v>10</v>
      </c>
      <c r="CO36" s="1">
        <v>143</v>
      </c>
      <c r="CP36" s="1">
        <v>1</v>
      </c>
    </row>
    <row r="37" spans="1:94" ht="24" x14ac:dyDescent="0.25">
      <c r="A37" s="2" t="s">
        <v>133</v>
      </c>
      <c r="B37" s="3" t="s">
        <v>181</v>
      </c>
      <c r="C37" s="4" t="s">
        <v>194</v>
      </c>
      <c r="D37" s="5" t="s">
        <v>198</v>
      </c>
      <c r="G37" s="1" t="s">
        <v>94</v>
      </c>
      <c r="H37" s="1" t="s">
        <v>97</v>
      </c>
      <c r="I37" s="1" t="s">
        <v>97</v>
      </c>
      <c r="K37" s="1">
        <v>25478</v>
      </c>
      <c r="L37" s="6">
        <v>4.6537602382725245E-2</v>
      </c>
      <c r="M37" s="7">
        <v>4.6537602382725245E-2</v>
      </c>
      <c r="N37" s="8" t="s">
        <v>253</v>
      </c>
      <c r="O37" s="8" t="s">
        <v>203</v>
      </c>
      <c r="P37" s="1" t="s">
        <v>239</v>
      </c>
      <c r="Q37" s="1" t="s">
        <v>252</v>
      </c>
      <c r="R37" s="1">
        <v>1000</v>
      </c>
      <c r="U37" s="1">
        <v>6000</v>
      </c>
      <c r="V37" s="1">
        <v>0</v>
      </c>
      <c r="W37" s="1">
        <v>6000</v>
      </c>
      <c r="X37" s="1">
        <v>5000</v>
      </c>
      <c r="Y37" s="1">
        <v>0</v>
      </c>
      <c r="Z37" s="1">
        <v>5000</v>
      </c>
      <c r="AA37" s="1">
        <v>800</v>
      </c>
      <c r="AB37" s="1">
        <v>200</v>
      </c>
      <c r="AC37" s="1">
        <v>1000</v>
      </c>
      <c r="AD37" s="1">
        <v>1600</v>
      </c>
      <c r="AE37" s="1">
        <v>0</v>
      </c>
      <c r="AF37" s="1">
        <v>1600</v>
      </c>
      <c r="AG37" s="1">
        <v>5032</v>
      </c>
      <c r="AH37" s="1">
        <v>665</v>
      </c>
      <c r="AI37" s="1">
        <v>5697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18432</v>
      </c>
      <c r="AQ37" s="1">
        <v>865</v>
      </c>
      <c r="AR37" s="1">
        <v>19297</v>
      </c>
      <c r="AS37" s="1">
        <v>1746</v>
      </c>
      <c r="AT37" s="1">
        <v>113</v>
      </c>
      <c r="AU37" s="1">
        <v>1859</v>
      </c>
      <c r="AV37" s="1">
        <v>521</v>
      </c>
      <c r="AW37" s="1">
        <v>22</v>
      </c>
      <c r="AX37" s="1">
        <v>543</v>
      </c>
      <c r="AY37" s="1">
        <v>289</v>
      </c>
      <c r="AZ37" s="1">
        <v>0</v>
      </c>
      <c r="BA37" s="1">
        <v>289</v>
      </c>
      <c r="BB37" s="1">
        <v>500</v>
      </c>
      <c r="BC37" s="1">
        <v>0</v>
      </c>
      <c r="BD37" s="1">
        <v>500</v>
      </c>
      <c r="BE37" s="1">
        <v>0</v>
      </c>
      <c r="BF37" s="1">
        <v>0</v>
      </c>
      <c r="BG37" s="1">
        <v>0</v>
      </c>
      <c r="BH37" s="1">
        <v>3056</v>
      </c>
      <c r="BI37" s="1">
        <v>135</v>
      </c>
      <c r="BJ37" s="1">
        <v>3191</v>
      </c>
      <c r="BK37" s="9">
        <v>2300</v>
      </c>
      <c r="BL37" s="9">
        <v>0</v>
      </c>
      <c r="BM37" s="9">
        <v>2300</v>
      </c>
      <c r="BN37" s="9">
        <v>690</v>
      </c>
      <c r="BO37" s="9">
        <v>0</v>
      </c>
      <c r="BP37" s="9">
        <v>690</v>
      </c>
      <c r="BQ37" s="1">
        <v>0</v>
      </c>
      <c r="BR37" s="1">
        <v>0</v>
      </c>
      <c r="BS37" s="1">
        <v>0</v>
      </c>
      <c r="BT37" s="12">
        <f t="shared" si="0"/>
        <v>2990</v>
      </c>
      <c r="BU37" s="12">
        <f t="shared" si="1"/>
        <v>0</v>
      </c>
      <c r="BV37" s="12">
        <f t="shared" si="2"/>
        <v>2990</v>
      </c>
      <c r="BW37" s="1">
        <v>21488</v>
      </c>
      <c r="BX37" s="1">
        <v>1000</v>
      </c>
      <c r="BY37" s="1">
        <v>22488</v>
      </c>
      <c r="BZ37" s="1">
        <v>257856</v>
      </c>
      <c r="CA37" s="1">
        <v>12000</v>
      </c>
      <c r="CB37" s="1">
        <v>269856</v>
      </c>
      <c r="CC37" s="1">
        <v>1000</v>
      </c>
      <c r="CD37" s="1">
        <v>16500</v>
      </c>
      <c r="CE37" s="1">
        <v>756</v>
      </c>
      <c r="CF37" s="1">
        <v>17256</v>
      </c>
      <c r="CG37" s="1">
        <v>1612</v>
      </c>
      <c r="CH37" s="1">
        <v>104</v>
      </c>
      <c r="CI37" s="1">
        <v>1716</v>
      </c>
      <c r="CJ37" s="1">
        <v>200</v>
      </c>
      <c r="CK37" s="1">
        <v>0</v>
      </c>
      <c r="CL37" s="1">
        <v>200</v>
      </c>
      <c r="CM37" s="1">
        <v>120</v>
      </c>
      <c r="CN37" s="1">
        <v>5</v>
      </c>
      <c r="CO37" s="1">
        <v>125</v>
      </c>
      <c r="CP37" s="1">
        <v>1</v>
      </c>
    </row>
    <row r="38" spans="1:94" ht="24" x14ac:dyDescent="0.25">
      <c r="A38" s="2" t="s">
        <v>134</v>
      </c>
      <c r="B38" s="3" t="s">
        <v>182</v>
      </c>
      <c r="C38" s="4" t="s">
        <v>194</v>
      </c>
      <c r="D38" s="5" t="s">
        <v>198</v>
      </c>
      <c r="G38" s="1" t="s">
        <v>94</v>
      </c>
      <c r="H38" s="1" t="s">
        <v>95</v>
      </c>
      <c r="I38" s="1" t="s">
        <v>96</v>
      </c>
      <c r="K38" s="1">
        <v>26012</v>
      </c>
      <c r="L38" s="6">
        <v>0.10565747766785132</v>
      </c>
      <c r="M38" s="7">
        <v>0.10565747766785132</v>
      </c>
      <c r="N38" s="8" t="s">
        <v>253</v>
      </c>
      <c r="O38" s="8" t="s">
        <v>203</v>
      </c>
      <c r="P38" s="1" t="s">
        <v>240</v>
      </c>
      <c r="Q38" s="1" t="s">
        <v>252</v>
      </c>
      <c r="R38" s="1">
        <v>2200</v>
      </c>
      <c r="U38" s="1">
        <v>6000</v>
      </c>
      <c r="V38" s="1">
        <v>0</v>
      </c>
      <c r="W38" s="1">
        <v>6000</v>
      </c>
      <c r="X38" s="1">
        <v>5000</v>
      </c>
      <c r="Y38" s="1">
        <v>0</v>
      </c>
      <c r="Z38" s="1">
        <v>5000</v>
      </c>
      <c r="AA38" s="1">
        <v>800</v>
      </c>
      <c r="AB38" s="1">
        <v>200</v>
      </c>
      <c r="AC38" s="1">
        <v>1000</v>
      </c>
      <c r="AD38" s="1">
        <v>1600</v>
      </c>
      <c r="AE38" s="1">
        <v>0</v>
      </c>
      <c r="AF38" s="1">
        <v>1600</v>
      </c>
      <c r="AG38" s="1">
        <v>4459</v>
      </c>
      <c r="AH38" s="1">
        <v>1698</v>
      </c>
      <c r="AI38" s="1">
        <v>6157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17859</v>
      </c>
      <c r="AQ38" s="1">
        <v>1898</v>
      </c>
      <c r="AR38" s="1">
        <v>19757</v>
      </c>
      <c r="AS38" s="1">
        <v>1672</v>
      </c>
      <c r="AT38" s="1">
        <v>246</v>
      </c>
      <c r="AU38" s="1">
        <v>1918</v>
      </c>
      <c r="AV38" s="1">
        <v>502</v>
      </c>
      <c r="AW38" s="1">
        <v>56</v>
      </c>
      <c r="AX38" s="1">
        <v>558</v>
      </c>
      <c r="AY38" s="1">
        <v>289</v>
      </c>
      <c r="AZ38" s="1">
        <v>0</v>
      </c>
      <c r="BA38" s="1">
        <v>289</v>
      </c>
      <c r="BB38" s="1">
        <v>500</v>
      </c>
      <c r="BC38" s="1">
        <v>0</v>
      </c>
      <c r="BD38" s="1">
        <v>500</v>
      </c>
      <c r="BE38" s="1">
        <v>0</v>
      </c>
      <c r="BF38" s="1">
        <v>0</v>
      </c>
      <c r="BG38" s="1">
        <v>0</v>
      </c>
      <c r="BH38" s="1">
        <v>2963</v>
      </c>
      <c r="BI38" s="1">
        <v>302</v>
      </c>
      <c r="BJ38" s="1">
        <v>3265</v>
      </c>
      <c r="BK38" s="9">
        <v>2300</v>
      </c>
      <c r="BL38" s="9">
        <v>0</v>
      </c>
      <c r="BM38" s="9">
        <v>2300</v>
      </c>
      <c r="BN38" s="9">
        <v>690</v>
      </c>
      <c r="BO38" s="9">
        <v>0</v>
      </c>
      <c r="BP38" s="9">
        <v>690</v>
      </c>
      <c r="BQ38" s="1">
        <v>0</v>
      </c>
      <c r="BR38" s="1">
        <v>0</v>
      </c>
      <c r="BS38" s="1">
        <v>0</v>
      </c>
      <c r="BT38" s="12">
        <f t="shared" si="0"/>
        <v>2990</v>
      </c>
      <c r="BU38" s="12">
        <f t="shared" si="1"/>
        <v>0</v>
      </c>
      <c r="BV38" s="12">
        <f t="shared" si="2"/>
        <v>2990</v>
      </c>
      <c r="BW38" s="1">
        <v>20822</v>
      </c>
      <c r="BX38" s="1">
        <v>2200</v>
      </c>
      <c r="BY38" s="1">
        <v>23022</v>
      </c>
      <c r="BZ38" s="1">
        <v>249864</v>
      </c>
      <c r="CA38" s="1">
        <v>26400</v>
      </c>
      <c r="CB38" s="1">
        <v>276264</v>
      </c>
      <c r="CC38" s="1">
        <v>2200</v>
      </c>
      <c r="CD38" s="1">
        <v>16000</v>
      </c>
      <c r="CE38" s="1">
        <v>1657</v>
      </c>
      <c r="CF38" s="1">
        <v>17657</v>
      </c>
      <c r="CG38" s="1">
        <v>1543</v>
      </c>
      <c r="CH38" s="1">
        <v>228</v>
      </c>
      <c r="CI38" s="1">
        <v>1771</v>
      </c>
      <c r="CJ38" s="1">
        <v>200</v>
      </c>
      <c r="CK38" s="1">
        <v>0</v>
      </c>
      <c r="CL38" s="1">
        <v>200</v>
      </c>
      <c r="CM38" s="1">
        <v>116</v>
      </c>
      <c r="CN38" s="1">
        <v>13</v>
      </c>
      <c r="CO38" s="1">
        <v>129</v>
      </c>
      <c r="CP38" s="1">
        <v>1</v>
      </c>
    </row>
    <row r="39" spans="1:94" ht="24" x14ac:dyDescent="0.25">
      <c r="A39" s="2" t="s">
        <v>135</v>
      </c>
      <c r="B39" s="3" t="s">
        <v>183</v>
      </c>
      <c r="C39" s="4" t="s">
        <v>194</v>
      </c>
      <c r="D39" s="5" t="s">
        <v>198</v>
      </c>
      <c r="G39" s="1" t="s">
        <v>94</v>
      </c>
      <c r="H39" s="1" t="s">
        <v>201</v>
      </c>
      <c r="I39" s="1" t="s">
        <v>96</v>
      </c>
      <c r="K39" s="1">
        <v>25412</v>
      </c>
      <c r="L39" s="6">
        <v>7.68418019402555E-2</v>
      </c>
      <c r="M39" s="7">
        <v>7.68418019402555E-2</v>
      </c>
      <c r="N39" s="8" t="s">
        <v>253</v>
      </c>
      <c r="O39" s="8" t="s">
        <v>203</v>
      </c>
      <c r="P39" s="1" t="s">
        <v>241</v>
      </c>
      <c r="Q39" s="1" t="s">
        <v>252</v>
      </c>
      <c r="R39" s="1">
        <v>1600</v>
      </c>
      <c r="U39" s="1">
        <v>6000</v>
      </c>
      <c r="V39" s="1">
        <v>0</v>
      </c>
      <c r="W39" s="1">
        <v>6000</v>
      </c>
      <c r="X39" s="1">
        <v>5000</v>
      </c>
      <c r="Y39" s="1">
        <v>0</v>
      </c>
      <c r="Z39" s="1">
        <v>5000</v>
      </c>
      <c r="AA39" s="1">
        <v>800</v>
      </c>
      <c r="AB39" s="1">
        <v>200</v>
      </c>
      <c r="AC39" s="1">
        <v>1000</v>
      </c>
      <c r="AD39" s="1">
        <v>1600</v>
      </c>
      <c r="AE39" s="1">
        <v>0</v>
      </c>
      <c r="AF39" s="1">
        <v>1600</v>
      </c>
      <c r="AG39" s="1">
        <v>4459</v>
      </c>
      <c r="AH39" s="1">
        <v>1182</v>
      </c>
      <c r="AI39" s="1">
        <v>5641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17859</v>
      </c>
      <c r="AQ39" s="1">
        <v>1382</v>
      </c>
      <c r="AR39" s="1">
        <v>19241</v>
      </c>
      <c r="AS39" s="1">
        <v>1672</v>
      </c>
      <c r="AT39" s="1">
        <v>179</v>
      </c>
      <c r="AU39" s="1">
        <v>1851</v>
      </c>
      <c r="AV39" s="1">
        <v>502</v>
      </c>
      <c r="AW39" s="1">
        <v>39</v>
      </c>
      <c r="AX39" s="1">
        <v>541</v>
      </c>
      <c r="AY39" s="1">
        <v>289</v>
      </c>
      <c r="AZ39" s="1">
        <v>0</v>
      </c>
      <c r="BA39" s="1">
        <v>289</v>
      </c>
      <c r="BB39" s="1">
        <v>500</v>
      </c>
      <c r="BC39" s="1">
        <v>0</v>
      </c>
      <c r="BD39" s="1">
        <v>500</v>
      </c>
      <c r="BE39" s="1">
        <v>0</v>
      </c>
      <c r="BF39" s="1">
        <v>0</v>
      </c>
      <c r="BG39" s="1">
        <v>0</v>
      </c>
      <c r="BH39" s="1">
        <v>2963</v>
      </c>
      <c r="BI39" s="1">
        <v>218</v>
      </c>
      <c r="BJ39" s="1">
        <v>3181</v>
      </c>
      <c r="BK39" s="9">
        <v>2300</v>
      </c>
      <c r="BL39" s="9">
        <v>0</v>
      </c>
      <c r="BM39" s="9">
        <v>2300</v>
      </c>
      <c r="BN39" s="9">
        <v>690</v>
      </c>
      <c r="BO39" s="9">
        <v>0</v>
      </c>
      <c r="BP39" s="9">
        <v>690</v>
      </c>
      <c r="BQ39" s="1">
        <v>0</v>
      </c>
      <c r="BR39" s="1">
        <v>0</v>
      </c>
      <c r="BS39" s="1">
        <v>0</v>
      </c>
      <c r="BT39" s="12">
        <f t="shared" si="0"/>
        <v>2990</v>
      </c>
      <c r="BU39" s="12">
        <f t="shared" si="1"/>
        <v>0</v>
      </c>
      <c r="BV39" s="12">
        <f t="shared" si="2"/>
        <v>2990</v>
      </c>
      <c r="BW39" s="1">
        <v>20822</v>
      </c>
      <c r="BX39" s="1">
        <v>1600</v>
      </c>
      <c r="BY39" s="1">
        <v>22422</v>
      </c>
      <c r="BZ39" s="1">
        <v>249864</v>
      </c>
      <c r="CA39" s="1">
        <v>19200</v>
      </c>
      <c r="CB39" s="1">
        <v>269064</v>
      </c>
      <c r="CC39" s="1">
        <v>1600</v>
      </c>
      <c r="CD39" s="1">
        <v>16000</v>
      </c>
      <c r="CE39" s="1">
        <v>1207</v>
      </c>
      <c r="CF39" s="1">
        <v>17207</v>
      </c>
      <c r="CG39" s="1">
        <v>1543</v>
      </c>
      <c r="CH39" s="1">
        <v>166</v>
      </c>
      <c r="CI39" s="1">
        <v>1709</v>
      </c>
      <c r="CJ39" s="1">
        <v>200</v>
      </c>
      <c r="CK39" s="1">
        <v>0</v>
      </c>
      <c r="CL39" s="1">
        <v>200</v>
      </c>
      <c r="CM39" s="1">
        <v>116</v>
      </c>
      <c r="CN39" s="1">
        <v>9</v>
      </c>
      <c r="CO39" s="1">
        <v>125</v>
      </c>
      <c r="CP39" s="1">
        <v>1</v>
      </c>
    </row>
    <row r="40" spans="1:94" ht="24" x14ac:dyDescent="0.25">
      <c r="A40" s="2" t="s">
        <v>136</v>
      </c>
      <c r="B40" s="3" t="s">
        <v>184</v>
      </c>
      <c r="C40" s="4" t="s">
        <v>194</v>
      </c>
      <c r="D40" s="5" t="s">
        <v>198</v>
      </c>
      <c r="G40" s="1" t="s">
        <v>94</v>
      </c>
      <c r="H40" s="1" t="s">
        <v>201</v>
      </c>
      <c r="I40" s="1" t="s">
        <v>96</v>
      </c>
      <c r="K40" s="1">
        <v>25377</v>
      </c>
      <c r="L40" s="6">
        <v>7.68418019402555E-2</v>
      </c>
      <c r="M40" s="7">
        <v>7.5160887522812414E-2</v>
      </c>
      <c r="N40" s="8" t="s">
        <v>253</v>
      </c>
      <c r="O40" s="8" t="s">
        <v>203</v>
      </c>
      <c r="P40" s="1" t="s">
        <v>242</v>
      </c>
      <c r="Q40" s="1" t="s">
        <v>252</v>
      </c>
      <c r="R40" s="1">
        <v>1600</v>
      </c>
      <c r="U40" s="1">
        <v>6000</v>
      </c>
      <c r="V40" s="1">
        <v>0</v>
      </c>
      <c r="W40" s="1">
        <v>6000</v>
      </c>
      <c r="X40" s="1">
        <v>5000</v>
      </c>
      <c r="Y40" s="1">
        <v>0</v>
      </c>
      <c r="Z40" s="1">
        <v>5000</v>
      </c>
      <c r="AA40" s="1">
        <v>800</v>
      </c>
      <c r="AB40" s="1">
        <v>200</v>
      </c>
      <c r="AC40" s="1">
        <v>1000</v>
      </c>
      <c r="AD40" s="1">
        <v>1600</v>
      </c>
      <c r="AE40" s="1">
        <v>0</v>
      </c>
      <c r="AF40" s="1">
        <v>1600</v>
      </c>
      <c r="AG40" s="1">
        <v>4459</v>
      </c>
      <c r="AH40" s="1">
        <v>1152</v>
      </c>
      <c r="AI40" s="1">
        <v>5611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17859</v>
      </c>
      <c r="AQ40" s="1">
        <v>1352</v>
      </c>
      <c r="AR40" s="1">
        <v>19211</v>
      </c>
      <c r="AS40" s="1">
        <v>1672</v>
      </c>
      <c r="AT40" s="1">
        <v>175</v>
      </c>
      <c r="AU40" s="1">
        <v>1847</v>
      </c>
      <c r="AV40" s="1">
        <v>502</v>
      </c>
      <c r="AW40" s="1">
        <v>38</v>
      </c>
      <c r="AX40" s="1">
        <v>540</v>
      </c>
      <c r="AY40" s="1">
        <v>289</v>
      </c>
      <c r="AZ40" s="1">
        <v>0</v>
      </c>
      <c r="BA40" s="1">
        <v>289</v>
      </c>
      <c r="BB40" s="1">
        <v>500</v>
      </c>
      <c r="BC40" s="1">
        <v>0</v>
      </c>
      <c r="BD40" s="1">
        <v>500</v>
      </c>
      <c r="BE40" s="1">
        <v>0</v>
      </c>
      <c r="BF40" s="1">
        <v>0</v>
      </c>
      <c r="BG40" s="1">
        <v>0</v>
      </c>
      <c r="BH40" s="1">
        <v>2963</v>
      </c>
      <c r="BI40" s="1">
        <v>213</v>
      </c>
      <c r="BJ40" s="1">
        <v>3176</v>
      </c>
      <c r="BK40" s="9">
        <v>2300</v>
      </c>
      <c r="BL40" s="9">
        <v>0</v>
      </c>
      <c r="BM40" s="9">
        <v>2300</v>
      </c>
      <c r="BN40" s="9">
        <v>690</v>
      </c>
      <c r="BO40" s="9">
        <v>0</v>
      </c>
      <c r="BP40" s="9">
        <v>690</v>
      </c>
      <c r="BQ40" s="1">
        <v>0</v>
      </c>
      <c r="BR40" s="1">
        <v>0</v>
      </c>
      <c r="BS40" s="1">
        <v>0</v>
      </c>
      <c r="BT40" s="12">
        <f t="shared" si="0"/>
        <v>2990</v>
      </c>
      <c r="BU40" s="12">
        <f t="shared" si="1"/>
        <v>0</v>
      </c>
      <c r="BV40" s="12">
        <f t="shared" si="2"/>
        <v>2990</v>
      </c>
      <c r="BW40" s="1">
        <v>20822</v>
      </c>
      <c r="BX40" s="1">
        <v>1565</v>
      </c>
      <c r="BY40" s="1">
        <v>22387</v>
      </c>
      <c r="BZ40" s="1">
        <v>249864</v>
      </c>
      <c r="CA40" s="1">
        <v>18780</v>
      </c>
      <c r="CB40" s="1">
        <v>268644</v>
      </c>
      <c r="CC40" s="1">
        <v>1565</v>
      </c>
      <c r="CD40" s="1">
        <v>16000</v>
      </c>
      <c r="CE40" s="1">
        <v>1181</v>
      </c>
      <c r="CF40" s="1">
        <v>17181</v>
      </c>
      <c r="CG40" s="1">
        <v>1543</v>
      </c>
      <c r="CH40" s="1">
        <v>162</v>
      </c>
      <c r="CI40" s="1">
        <v>1705</v>
      </c>
      <c r="CJ40" s="1">
        <v>200</v>
      </c>
      <c r="CK40" s="1">
        <v>0</v>
      </c>
      <c r="CL40" s="1">
        <v>200</v>
      </c>
      <c r="CM40" s="1">
        <v>116</v>
      </c>
      <c r="CN40" s="1">
        <v>9</v>
      </c>
      <c r="CO40" s="1">
        <v>125</v>
      </c>
      <c r="CP40" s="1">
        <v>1</v>
      </c>
    </row>
    <row r="41" spans="1:94" ht="24" x14ac:dyDescent="0.25">
      <c r="A41" s="2" t="s">
        <v>137</v>
      </c>
      <c r="B41" s="3" t="s">
        <v>185</v>
      </c>
      <c r="C41" s="4" t="s">
        <v>194</v>
      </c>
      <c r="D41" s="5" t="s">
        <v>198</v>
      </c>
      <c r="G41" s="1" t="s">
        <v>94</v>
      </c>
      <c r="H41" s="1" t="s">
        <v>201</v>
      </c>
      <c r="I41" s="1" t="s">
        <v>96</v>
      </c>
      <c r="K41" s="1">
        <v>25352</v>
      </c>
      <c r="L41" s="6">
        <v>7.68418019402555E-2</v>
      </c>
      <c r="M41" s="7">
        <v>7.3912208241283264E-2</v>
      </c>
      <c r="N41" s="8" t="s">
        <v>253</v>
      </c>
      <c r="O41" s="8" t="s">
        <v>203</v>
      </c>
      <c r="P41" s="1" t="s">
        <v>243</v>
      </c>
      <c r="Q41" s="1" t="s">
        <v>252</v>
      </c>
      <c r="R41" s="1">
        <v>1600</v>
      </c>
      <c r="U41" s="1">
        <v>6000</v>
      </c>
      <c r="V41" s="1">
        <v>0</v>
      </c>
      <c r="W41" s="1">
        <v>6000</v>
      </c>
      <c r="X41" s="1">
        <v>5000</v>
      </c>
      <c r="Y41" s="1">
        <v>0</v>
      </c>
      <c r="Z41" s="1">
        <v>5000</v>
      </c>
      <c r="AA41" s="1">
        <v>800</v>
      </c>
      <c r="AB41" s="1">
        <v>200</v>
      </c>
      <c r="AC41" s="1">
        <v>1000</v>
      </c>
      <c r="AD41" s="1">
        <v>1600</v>
      </c>
      <c r="AE41" s="1">
        <v>0</v>
      </c>
      <c r="AF41" s="1">
        <v>1600</v>
      </c>
      <c r="AG41" s="1">
        <v>4459</v>
      </c>
      <c r="AH41" s="1">
        <v>1130</v>
      </c>
      <c r="AI41" s="1">
        <v>5589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17859</v>
      </c>
      <c r="AQ41" s="1">
        <v>1330</v>
      </c>
      <c r="AR41" s="1">
        <v>19189</v>
      </c>
      <c r="AS41" s="1">
        <v>1672</v>
      </c>
      <c r="AT41" s="1">
        <v>173</v>
      </c>
      <c r="AU41" s="1">
        <v>1845</v>
      </c>
      <c r="AV41" s="1">
        <v>502</v>
      </c>
      <c r="AW41" s="1">
        <v>37</v>
      </c>
      <c r="AX41" s="1">
        <v>539</v>
      </c>
      <c r="AY41" s="1">
        <v>289</v>
      </c>
      <c r="AZ41" s="1">
        <v>0</v>
      </c>
      <c r="BA41" s="1">
        <v>289</v>
      </c>
      <c r="BB41" s="1">
        <v>500</v>
      </c>
      <c r="BC41" s="1">
        <v>0</v>
      </c>
      <c r="BD41" s="1">
        <v>500</v>
      </c>
      <c r="BE41" s="1">
        <v>0</v>
      </c>
      <c r="BF41" s="1">
        <v>0</v>
      </c>
      <c r="BG41" s="1">
        <v>0</v>
      </c>
      <c r="BH41" s="1">
        <v>2963</v>
      </c>
      <c r="BI41" s="1">
        <v>210</v>
      </c>
      <c r="BJ41" s="1">
        <v>3173</v>
      </c>
      <c r="BK41" s="9">
        <v>2300</v>
      </c>
      <c r="BL41" s="9">
        <v>0</v>
      </c>
      <c r="BM41" s="9">
        <v>2300</v>
      </c>
      <c r="BN41" s="9">
        <v>690</v>
      </c>
      <c r="BO41" s="9">
        <v>0</v>
      </c>
      <c r="BP41" s="9">
        <v>690</v>
      </c>
      <c r="BQ41" s="1">
        <v>0</v>
      </c>
      <c r="BR41" s="1">
        <v>0</v>
      </c>
      <c r="BS41" s="1">
        <v>0</v>
      </c>
      <c r="BT41" s="12">
        <f t="shared" si="0"/>
        <v>2990</v>
      </c>
      <c r="BU41" s="12">
        <f t="shared" si="1"/>
        <v>0</v>
      </c>
      <c r="BV41" s="12">
        <f t="shared" si="2"/>
        <v>2990</v>
      </c>
      <c r="BW41" s="1">
        <v>20822</v>
      </c>
      <c r="BX41" s="1">
        <v>1540</v>
      </c>
      <c r="BY41" s="1">
        <v>22362</v>
      </c>
      <c r="BZ41" s="1">
        <v>249864</v>
      </c>
      <c r="CA41" s="1">
        <v>18480</v>
      </c>
      <c r="CB41" s="1">
        <v>268344</v>
      </c>
      <c r="CC41" s="1">
        <v>1539</v>
      </c>
      <c r="CD41" s="1">
        <v>16000</v>
      </c>
      <c r="CE41" s="1">
        <v>1162</v>
      </c>
      <c r="CF41" s="1">
        <v>17162</v>
      </c>
      <c r="CG41" s="1">
        <v>1543</v>
      </c>
      <c r="CH41" s="1">
        <v>160</v>
      </c>
      <c r="CI41" s="1">
        <v>1703</v>
      </c>
      <c r="CJ41" s="1">
        <v>200</v>
      </c>
      <c r="CK41" s="1">
        <v>0</v>
      </c>
      <c r="CL41" s="1">
        <v>200</v>
      </c>
      <c r="CM41" s="1">
        <v>116</v>
      </c>
      <c r="CN41" s="1">
        <v>8</v>
      </c>
      <c r="CO41" s="1">
        <v>124</v>
      </c>
      <c r="CP41" s="1">
        <v>1</v>
      </c>
    </row>
    <row r="42" spans="1:94" ht="24" x14ac:dyDescent="0.25">
      <c r="A42" s="2" t="s">
        <v>138</v>
      </c>
      <c r="B42" s="3" t="s">
        <v>186</v>
      </c>
      <c r="C42" s="4" t="s">
        <v>194</v>
      </c>
      <c r="D42" s="5" t="s">
        <v>196</v>
      </c>
      <c r="G42" s="1" t="s">
        <v>94</v>
      </c>
      <c r="H42" s="1" t="s">
        <v>95</v>
      </c>
      <c r="I42" s="1" t="s">
        <v>96</v>
      </c>
      <c r="K42" s="1">
        <v>38885</v>
      </c>
      <c r="L42" s="6">
        <v>0.10150030132901958</v>
      </c>
      <c r="M42" s="7">
        <v>9.731341389919751E-2</v>
      </c>
      <c r="N42" s="8" t="s">
        <v>253</v>
      </c>
      <c r="O42" s="8" t="s">
        <v>203</v>
      </c>
      <c r="P42" s="1" t="s">
        <v>244</v>
      </c>
      <c r="Q42" s="1" t="s">
        <v>252</v>
      </c>
      <c r="R42" s="1">
        <v>3200</v>
      </c>
      <c r="U42" s="1">
        <v>12000</v>
      </c>
      <c r="V42" s="1">
        <v>0</v>
      </c>
      <c r="W42" s="1">
        <v>12000</v>
      </c>
      <c r="X42" s="1">
        <v>10000</v>
      </c>
      <c r="Y42" s="1">
        <v>0</v>
      </c>
      <c r="Z42" s="1">
        <v>10000</v>
      </c>
      <c r="AA42" s="1">
        <v>800</v>
      </c>
      <c r="AB42" s="1">
        <v>200</v>
      </c>
      <c r="AC42" s="1">
        <v>1000</v>
      </c>
      <c r="AD42" s="1">
        <v>1600</v>
      </c>
      <c r="AE42" s="1">
        <v>0</v>
      </c>
      <c r="AF42" s="1">
        <v>1600</v>
      </c>
      <c r="AG42" s="1">
        <v>3600</v>
      </c>
      <c r="AH42" s="1">
        <v>2868</v>
      </c>
      <c r="AI42" s="1">
        <v>6468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28000</v>
      </c>
      <c r="AQ42" s="1">
        <v>3068</v>
      </c>
      <c r="AR42" s="1">
        <v>31068</v>
      </c>
      <c r="AS42" s="1">
        <v>1950</v>
      </c>
      <c r="AT42" s="1">
        <v>0</v>
      </c>
      <c r="AU42" s="1">
        <v>1950</v>
      </c>
      <c r="AV42" s="1">
        <v>0</v>
      </c>
      <c r="AW42" s="1">
        <v>0</v>
      </c>
      <c r="AX42" s="1">
        <v>0</v>
      </c>
      <c r="AY42" s="1">
        <v>577</v>
      </c>
      <c r="AZ42" s="1">
        <v>0</v>
      </c>
      <c r="BA42" s="1">
        <v>577</v>
      </c>
      <c r="BB42" s="1">
        <v>1000</v>
      </c>
      <c r="BC42" s="1">
        <v>0</v>
      </c>
      <c r="BD42" s="1">
        <v>1000</v>
      </c>
      <c r="BE42" s="1">
        <v>0</v>
      </c>
      <c r="BF42" s="1">
        <v>0</v>
      </c>
      <c r="BG42" s="1">
        <v>0</v>
      </c>
      <c r="BH42" s="1">
        <v>3527</v>
      </c>
      <c r="BI42" s="1">
        <v>0</v>
      </c>
      <c r="BJ42" s="1">
        <v>3527</v>
      </c>
      <c r="BK42" s="9">
        <v>3300</v>
      </c>
      <c r="BL42" s="9">
        <v>0</v>
      </c>
      <c r="BM42" s="9">
        <v>3300</v>
      </c>
      <c r="BN42" s="9">
        <v>990</v>
      </c>
      <c r="BO42" s="9">
        <v>0</v>
      </c>
      <c r="BP42" s="9">
        <v>990</v>
      </c>
      <c r="BQ42" s="1">
        <v>0</v>
      </c>
      <c r="BR42" s="1">
        <v>0</v>
      </c>
      <c r="BS42" s="1">
        <v>0</v>
      </c>
      <c r="BT42" s="12">
        <f t="shared" si="0"/>
        <v>4290</v>
      </c>
      <c r="BU42" s="12">
        <f t="shared" si="1"/>
        <v>0</v>
      </c>
      <c r="BV42" s="12">
        <f t="shared" si="2"/>
        <v>4290</v>
      </c>
      <c r="BW42" s="1">
        <v>31527</v>
      </c>
      <c r="BX42" s="1">
        <v>3068</v>
      </c>
      <c r="BY42" s="1">
        <v>34595</v>
      </c>
      <c r="BZ42" s="1">
        <v>378324</v>
      </c>
      <c r="CA42" s="1">
        <v>36816</v>
      </c>
      <c r="CB42" s="1">
        <v>415140</v>
      </c>
      <c r="CC42" s="1">
        <v>3068</v>
      </c>
      <c r="CD42" s="1">
        <v>26000</v>
      </c>
      <c r="CE42" s="1">
        <v>3068</v>
      </c>
      <c r="CF42" s="1">
        <v>29068</v>
      </c>
      <c r="CG42" s="1">
        <v>1800</v>
      </c>
      <c r="CH42" s="1">
        <v>0</v>
      </c>
      <c r="CI42" s="1">
        <v>1800</v>
      </c>
      <c r="CJ42" s="1">
        <v>200</v>
      </c>
      <c r="CK42" s="1">
        <v>0</v>
      </c>
      <c r="CL42" s="1">
        <v>200</v>
      </c>
      <c r="CM42" s="1">
        <v>0</v>
      </c>
      <c r="CN42" s="1">
        <v>0</v>
      </c>
      <c r="CO42" s="1">
        <v>0</v>
      </c>
      <c r="CP42" s="1">
        <v>2</v>
      </c>
    </row>
    <row r="43" spans="1:94" ht="24" x14ac:dyDescent="0.25">
      <c r="A43" s="2" t="s">
        <v>139</v>
      </c>
      <c r="B43" s="3" t="s">
        <v>187</v>
      </c>
      <c r="C43" s="4" t="s">
        <v>194</v>
      </c>
      <c r="D43" s="5" t="s">
        <v>198</v>
      </c>
      <c r="G43" s="1" t="s">
        <v>94</v>
      </c>
      <c r="H43" s="1" t="s">
        <v>201</v>
      </c>
      <c r="I43" s="1" t="s">
        <v>96</v>
      </c>
      <c r="K43" s="1">
        <v>27099</v>
      </c>
      <c r="L43" s="6">
        <v>7.060277115876798E-2</v>
      </c>
      <c r="M43" s="7">
        <v>6.3851381166710797E-2</v>
      </c>
      <c r="N43" s="8" t="s">
        <v>253</v>
      </c>
      <c r="O43" s="8" t="s">
        <v>203</v>
      </c>
      <c r="P43" s="1" t="s">
        <v>245</v>
      </c>
      <c r="Q43" s="1" t="s">
        <v>252</v>
      </c>
      <c r="R43" s="1">
        <v>1600</v>
      </c>
      <c r="U43" s="1">
        <v>7000</v>
      </c>
      <c r="V43" s="1">
        <v>0</v>
      </c>
      <c r="W43" s="1">
        <v>7000</v>
      </c>
      <c r="X43" s="1">
        <v>6000</v>
      </c>
      <c r="Y43" s="1">
        <v>0</v>
      </c>
      <c r="Z43" s="1">
        <v>6000</v>
      </c>
      <c r="AA43" s="1">
        <v>800</v>
      </c>
      <c r="AB43" s="1">
        <v>200</v>
      </c>
      <c r="AC43" s="1">
        <v>1000</v>
      </c>
      <c r="AD43" s="1">
        <v>1600</v>
      </c>
      <c r="AE43" s="1">
        <v>0</v>
      </c>
      <c r="AF43" s="1">
        <v>1600</v>
      </c>
      <c r="AG43" s="1">
        <v>4041</v>
      </c>
      <c r="AH43" s="1">
        <v>1050</v>
      </c>
      <c r="AI43" s="1">
        <v>5091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19441</v>
      </c>
      <c r="AQ43" s="1">
        <v>1250</v>
      </c>
      <c r="AR43" s="1">
        <v>20691</v>
      </c>
      <c r="AS43" s="1">
        <v>1747</v>
      </c>
      <c r="AT43" s="1">
        <v>163</v>
      </c>
      <c r="AU43" s="1">
        <v>1910</v>
      </c>
      <c r="AV43" s="1">
        <v>554</v>
      </c>
      <c r="AW43" s="1">
        <v>34</v>
      </c>
      <c r="AX43" s="1">
        <v>588</v>
      </c>
      <c r="AY43" s="1">
        <v>337</v>
      </c>
      <c r="AZ43" s="1">
        <v>0</v>
      </c>
      <c r="BA43" s="1">
        <v>337</v>
      </c>
      <c r="BB43" s="1">
        <v>583</v>
      </c>
      <c r="BC43" s="1">
        <v>0</v>
      </c>
      <c r="BD43" s="1">
        <v>583</v>
      </c>
      <c r="BE43" s="1">
        <v>0</v>
      </c>
      <c r="BF43" s="1">
        <v>0</v>
      </c>
      <c r="BG43" s="1">
        <v>0</v>
      </c>
      <c r="BH43" s="1">
        <v>3221</v>
      </c>
      <c r="BI43" s="1">
        <v>197</v>
      </c>
      <c r="BJ43" s="1">
        <v>3418</v>
      </c>
      <c r="BK43" s="9">
        <v>2300</v>
      </c>
      <c r="BL43" s="9">
        <v>0</v>
      </c>
      <c r="BM43" s="9">
        <v>2300</v>
      </c>
      <c r="BN43" s="9">
        <v>690</v>
      </c>
      <c r="BO43" s="9">
        <v>0</v>
      </c>
      <c r="BP43" s="9">
        <v>690</v>
      </c>
      <c r="BQ43" s="1">
        <v>0</v>
      </c>
      <c r="BR43" s="1">
        <v>0</v>
      </c>
      <c r="BS43" s="1">
        <v>0</v>
      </c>
      <c r="BT43" s="12">
        <f t="shared" si="0"/>
        <v>2990</v>
      </c>
      <c r="BU43" s="12">
        <f t="shared" si="1"/>
        <v>0</v>
      </c>
      <c r="BV43" s="12">
        <f t="shared" si="2"/>
        <v>2990</v>
      </c>
      <c r="BW43" s="1">
        <v>22662</v>
      </c>
      <c r="BX43" s="1">
        <v>1447</v>
      </c>
      <c r="BY43" s="1">
        <v>24109</v>
      </c>
      <c r="BZ43" s="1">
        <v>271944</v>
      </c>
      <c r="CA43" s="1">
        <v>17364</v>
      </c>
      <c r="CB43" s="1">
        <v>289308</v>
      </c>
      <c r="CC43" s="1">
        <v>1447</v>
      </c>
      <c r="CD43" s="1">
        <v>17500</v>
      </c>
      <c r="CE43" s="1">
        <v>1092</v>
      </c>
      <c r="CF43" s="1">
        <v>18592</v>
      </c>
      <c r="CG43" s="1">
        <v>1613</v>
      </c>
      <c r="CH43" s="1">
        <v>150</v>
      </c>
      <c r="CI43" s="1">
        <v>1763</v>
      </c>
      <c r="CJ43" s="1">
        <v>200</v>
      </c>
      <c r="CK43" s="1">
        <v>0</v>
      </c>
      <c r="CL43" s="1">
        <v>200</v>
      </c>
      <c r="CM43" s="1">
        <v>128</v>
      </c>
      <c r="CN43" s="1">
        <v>8</v>
      </c>
      <c r="CO43" s="1">
        <v>136</v>
      </c>
      <c r="CP43" s="1">
        <v>1</v>
      </c>
    </row>
    <row r="44" spans="1:94" ht="24" x14ac:dyDescent="0.25">
      <c r="A44" s="2" t="s">
        <v>140</v>
      </c>
      <c r="B44" s="3" t="s">
        <v>188</v>
      </c>
      <c r="C44" s="4" t="s">
        <v>194</v>
      </c>
      <c r="D44" s="5" t="s">
        <v>196</v>
      </c>
      <c r="G44" s="1" t="s">
        <v>94</v>
      </c>
      <c r="H44" s="1" t="s">
        <v>95</v>
      </c>
      <c r="I44" s="1" t="s">
        <v>96</v>
      </c>
      <c r="K44" s="1">
        <v>39158</v>
      </c>
      <c r="L44" s="6">
        <v>9.9996875097653204E-2</v>
      </c>
      <c r="M44" s="7">
        <v>8.9590950282803658E-2</v>
      </c>
      <c r="N44" s="8" t="s">
        <v>253</v>
      </c>
      <c r="O44" s="8" t="s">
        <v>203</v>
      </c>
      <c r="P44" s="1" t="s">
        <v>246</v>
      </c>
      <c r="Q44" s="1" t="s">
        <v>252</v>
      </c>
      <c r="R44" s="1">
        <v>3200</v>
      </c>
      <c r="U44" s="1">
        <v>8000</v>
      </c>
      <c r="V44" s="1">
        <v>0</v>
      </c>
      <c r="W44" s="1">
        <v>8000</v>
      </c>
      <c r="X44" s="1">
        <v>7500</v>
      </c>
      <c r="Y44" s="1">
        <v>0</v>
      </c>
      <c r="Z44" s="1">
        <v>7500</v>
      </c>
      <c r="AA44" s="1">
        <v>800</v>
      </c>
      <c r="AB44" s="1">
        <v>200</v>
      </c>
      <c r="AC44" s="1">
        <v>1000</v>
      </c>
      <c r="AD44" s="1">
        <v>1600</v>
      </c>
      <c r="AE44" s="1">
        <v>0</v>
      </c>
      <c r="AF44" s="1">
        <v>1600</v>
      </c>
      <c r="AG44" s="1">
        <v>11100</v>
      </c>
      <c r="AH44" s="1">
        <v>2667</v>
      </c>
      <c r="AI44" s="1">
        <v>13767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29000</v>
      </c>
      <c r="AQ44" s="1">
        <v>2867</v>
      </c>
      <c r="AR44" s="1">
        <v>31867</v>
      </c>
      <c r="AS44" s="1">
        <v>1950</v>
      </c>
      <c r="AT44" s="1">
        <v>0</v>
      </c>
      <c r="AU44" s="1">
        <v>1950</v>
      </c>
      <c r="AV44" s="1">
        <v>0</v>
      </c>
      <c r="AW44" s="1">
        <v>0</v>
      </c>
      <c r="AX44" s="1">
        <v>0</v>
      </c>
      <c r="AY44" s="1">
        <v>385</v>
      </c>
      <c r="AZ44" s="1">
        <v>0</v>
      </c>
      <c r="BA44" s="1">
        <v>385</v>
      </c>
      <c r="BB44" s="1">
        <v>666</v>
      </c>
      <c r="BC44" s="1">
        <v>0</v>
      </c>
      <c r="BD44" s="1">
        <v>666</v>
      </c>
      <c r="BE44" s="1">
        <v>0</v>
      </c>
      <c r="BF44" s="1">
        <v>0</v>
      </c>
      <c r="BG44" s="1">
        <v>0</v>
      </c>
      <c r="BH44" s="1">
        <v>3001</v>
      </c>
      <c r="BI44" s="1">
        <v>0</v>
      </c>
      <c r="BJ44" s="1">
        <v>3001</v>
      </c>
      <c r="BK44" s="9">
        <v>3300</v>
      </c>
      <c r="BL44" s="9">
        <v>0</v>
      </c>
      <c r="BM44" s="9">
        <v>3300</v>
      </c>
      <c r="BN44" s="9">
        <v>990</v>
      </c>
      <c r="BO44" s="9">
        <v>0</v>
      </c>
      <c r="BP44" s="9">
        <v>990</v>
      </c>
      <c r="BQ44" s="1">
        <v>0</v>
      </c>
      <c r="BR44" s="1">
        <v>0</v>
      </c>
      <c r="BS44" s="1">
        <v>0</v>
      </c>
      <c r="BT44" s="12">
        <f t="shared" si="0"/>
        <v>4290</v>
      </c>
      <c r="BU44" s="12">
        <f t="shared" si="1"/>
        <v>0</v>
      </c>
      <c r="BV44" s="12">
        <f t="shared" si="2"/>
        <v>4290</v>
      </c>
      <c r="BW44" s="1">
        <v>32001</v>
      </c>
      <c r="BX44" s="1">
        <v>2867</v>
      </c>
      <c r="BY44" s="1">
        <v>34868</v>
      </c>
      <c r="BZ44" s="1">
        <v>384012</v>
      </c>
      <c r="CA44" s="1">
        <v>34404</v>
      </c>
      <c r="CB44" s="1">
        <v>418416</v>
      </c>
      <c r="CC44" s="1">
        <v>2867</v>
      </c>
      <c r="CD44" s="1">
        <v>27000</v>
      </c>
      <c r="CE44" s="1">
        <v>2867</v>
      </c>
      <c r="CF44" s="1">
        <v>29867</v>
      </c>
      <c r="CG44" s="1">
        <v>1800</v>
      </c>
      <c r="CH44" s="1">
        <v>0</v>
      </c>
      <c r="CI44" s="1">
        <v>1800</v>
      </c>
      <c r="CJ44" s="1">
        <v>200</v>
      </c>
      <c r="CK44" s="1">
        <v>0</v>
      </c>
      <c r="CL44" s="1">
        <v>200</v>
      </c>
      <c r="CM44" s="1">
        <v>0</v>
      </c>
      <c r="CN44" s="1">
        <v>0</v>
      </c>
      <c r="CO44" s="1">
        <v>0</v>
      </c>
      <c r="CP44" s="1">
        <v>2</v>
      </c>
    </row>
    <row r="45" spans="1:94" ht="24" x14ac:dyDescent="0.25">
      <c r="A45" s="2" t="s">
        <v>141</v>
      </c>
      <c r="B45" s="3" t="s">
        <v>189</v>
      </c>
      <c r="C45" s="4" t="s">
        <v>194</v>
      </c>
      <c r="D45" s="5" t="s">
        <v>200</v>
      </c>
      <c r="G45" s="1" t="s">
        <v>94</v>
      </c>
      <c r="H45" s="1" t="s">
        <v>95</v>
      </c>
      <c r="I45" s="1" t="s">
        <v>96</v>
      </c>
      <c r="K45" s="1">
        <v>95630</v>
      </c>
      <c r="L45" s="6">
        <v>8.5807448086493904E-2</v>
      </c>
      <c r="M45" s="7">
        <v>7.6638309348108558E-2</v>
      </c>
      <c r="N45" s="8" t="s">
        <v>253</v>
      </c>
      <c r="O45" s="8" t="s">
        <v>203</v>
      </c>
      <c r="P45" s="1" t="s">
        <v>247</v>
      </c>
      <c r="Q45" s="1" t="s">
        <v>252</v>
      </c>
      <c r="R45" s="1">
        <v>7000</v>
      </c>
      <c r="U45" s="1">
        <v>20000</v>
      </c>
      <c r="V45" s="1">
        <v>0</v>
      </c>
      <c r="W45" s="1">
        <v>20000</v>
      </c>
      <c r="X45" s="1">
        <v>15000</v>
      </c>
      <c r="Y45" s="1">
        <v>0</v>
      </c>
      <c r="Z45" s="1">
        <v>15000</v>
      </c>
      <c r="AA45" s="1">
        <v>800</v>
      </c>
      <c r="AB45" s="1">
        <v>200</v>
      </c>
      <c r="AC45" s="1">
        <v>1000</v>
      </c>
      <c r="AD45" s="1">
        <v>1600</v>
      </c>
      <c r="AE45" s="1">
        <v>0</v>
      </c>
      <c r="AF45" s="1">
        <v>1600</v>
      </c>
      <c r="AG45" s="1">
        <v>39600</v>
      </c>
      <c r="AH45" s="1">
        <v>6052</v>
      </c>
      <c r="AI45" s="1">
        <v>45652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77000</v>
      </c>
      <c r="AQ45" s="1">
        <v>6252</v>
      </c>
      <c r="AR45" s="1">
        <v>83252</v>
      </c>
      <c r="AS45" s="1">
        <v>1950</v>
      </c>
      <c r="AT45" s="1">
        <v>0</v>
      </c>
      <c r="AU45" s="1">
        <v>1950</v>
      </c>
      <c r="AV45" s="1">
        <v>0</v>
      </c>
      <c r="AW45" s="1">
        <v>0</v>
      </c>
      <c r="AX45" s="1">
        <v>0</v>
      </c>
      <c r="AY45" s="1">
        <v>962</v>
      </c>
      <c r="AZ45" s="1">
        <v>0</v>
      </c>
      <c r="BA45" s="1">
        <v>962</v>
      </c>
      <c r="BB45" s="1">
        <v>1666</v>
      </c>
      <c r="BC45" s="1">
        <v>0</v>
      </c>
      <c r="BD45" s="1">
        <v>1666</v>
      </c>
      <c r="BE45" s="1">
        <v>0</v>
      </c>
      <c r="BF45" s="1">
        <v>0</v>
      </c>
      <c r="BG45" s="1">
        <v>0</v>
      </c>
      <c r="BH45" s="1">
        <v>4578</v>
      </c>
      <c r="BI45" s="1">
        <v>0</v>
      </c>
      <c r="BJ45" s="1">
        <v>4578</v>
      </c>
      <c r="BK45" s="9">
        <v>6000</v>
      </c>
      <c r="BL45" s="9">
        <v>0</v>
      </c>
      <c r="BM45" s="9">
        <v>6000</v>
      </c>
      <c r="BN45" s="9">
        <v>1800</v>
      </c>
      <c r="BO45" s="9">
        <v>0</v>
      </c>
      <c r="BP45" s="9">
        <v>1800</v>
      </c>
      <c r="BQ45" s="1">
        <v>0</v>
      </c>
      <c r="BR45" s="1">
        <v>0</v>
      </c>
      <c r="BS45" s="1">
        <v>0</v>
      </c>
      <c r="BT45" s="12">
        <f t="shared" si="0"/>
        <v>7800</v>
      </c>
      <c r="BU45" s="12">
        <f t="shared" si="1"/>
        <v>0</v>
      </c>
      <c r="BV45" s="12">
        <f t="shared" si="2"/>
        <v>7800</v>
      </c>
      <c r="BW45" s="1">
        <v>81578</v>
      </c>
      <c r="BX45" s="1">
        <v>6252</v>
      </c>
      <c r="BY45" s="1">
        <v>87830</v>
      </c>
      <c r="BZ45" s="1">
        <v>978936</v>
      </c>
      <c r="CA45" s="1">
        <v>75024</v>
      </c>
      <c r="CB45" s="1">
        <v>1053960</v>
      </c>
      <c r="CC45" s="1">
        <v>6252</v>
      </c>
      <c r="CD45" s="1">
        <v>75000</v>
      </c>
      <c r="CE45" s="1">
        <v>6252</v>
      </c>
      <c r="CF45" s="1">
        <v>81252</v>
      </c>
      <c r="CG45" s="1">
        <v>1800</v>
      </c>
      <c r="CH45" s="1">
        <v>0</v>
      </c>
      <c r="CI45" s="1">
        <v>1800</v>
      </c>
      <c r="CJ45" s="1">
        <v>200</v>
      </c>
      <c r="CK45" s="1">
        <v>0</v>
      </c>
      <c r="CL45" s="1">
        <v>200</v>
      </c>
      <c r="CM45" s="1">
        <v>0</v>
      </c>
      <c r="CN45" s="1">
        <v>0</v>
      </c>
      <c r="CO45" s="1">
        <v>0</v>
      </c>
      <c r="CP45" s="1">
        <v>3</v>
      </c>
    </row>
    <row r="46" spans="1:94" ht="24" x14ac:dyDescent="0.25">
      <c r="A46" s="2" t="s">
        <v>142</v>
      </c>
      <c r="B46" s="3" t="s">
        <v>190</v>
      </c>
      <c r="C46" s="4" t="s">
        <v>194</v>
      </c>
      <c r="D46" s="5" t="s">
        <v>198</v>
      </c>
      <c r="G46" s="1" t="s">
        <v>94</v>
      </c>
      <c r="H46" s="1" t="s">
        <v>202</v>
      </c>
      <c r="I46" s="1" t="s">
        <v>96</v>
      </c>
      <c r="K46" s="1">
        <v>24781</v>
      </c>
      <c r="L46" s="6">
        <v>0.13853258081067213</v>
      </c>
      <c r="M46" s="7">
        <v>0.11806054386865059</v>
      </c>
      <c r="N46" s="8" t="s">
        <v>253</v>
      </c>
      <c r="O46" s="8" t="s">
        <v>203</v>
      </c>
      <c r="P46" s="1" t="s">
        <v>248</v>
      </c>
      <c r="Q46" s="1" t="s">
        <v>252</v>
      </c>
      <c r="R46" s="1">
        <v>2700</v>
      </c>
      <c r="U46" s="1">
        <v>6000</v>
      </c>
      <c r="V46" s="1">
        <v>0</v>
      </c>
      <c r="W46" s="1">
        <v>6000</v>
      </c>
      <c r="X46" s="1">
        <v>5000</v>
      </c>
      <c r="Y46" s="1">
        <v>0</v>
      </c>
      <c r="Z46" s="1">
        <v>5000</v>
      </c>
      <c r="AA46" s="1">
        <v>800</v>
      </c>
      <c r="AB46" s="1">
        <v>200</v>
      </c>
      <c r="AC46" s="1">
        <v>1000</v>
      </c>
      <c r="AD46" s="1">
        <v>1600</v>
      </c>
      <c r="AE46" s="1">
        <v>0</v>
      </c>
      <c r="AF46" s="1">
        <v>1600</v>
      </c>
      <c r="AG46" s="1">
        <v>3313</v>
      </c>
      <c r="AH46" s="1">
        <v>1785</v>
      </c>
      <c r="AI46" s="1">
        <v>5098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16713</v>
      </c>
      <c r="AQ46" s="1">
        <v>1985</v>
      </c>
      <c r="AR46" s="1">
        <v>18698</v>
      </c>
      <c r="AS46" s="1">
        <v>1523</v>
      </c>
      <c r="AT46" s="1">
        <v>258</v>
      </c>
      <c r="AU46" s="1">
        <v>1781</v>
      </c>
      <c r="AV46" s="1">
        <v>465</v>
      </c>
      <c r="AW46" s="1">
        <v>58</v>
      </c>
      <c r="AX46" s="1">
        <v>523</v>
      </c>
      <c r="AY46" s="1">
        <v>289</v>
      </c>
      <c r="AZ46" s="1">
        <v>0</v>
      </c>
      <c r="BA46" s="1">
        <v>289</v>
      </c>
      <c r="BB46" s="1">
        <v>500</v>
      </c>
      <c r="BC46" s="1">
        <v>0</v>
      </c>
      <c r="BD46" s="1">
        <v>500</v>
      </c>
      <c r="BE46" s="1">
        <v>0</v>
      </c>
      <c r="BF46" s="1">
        <v>0</v>
      </c>
      <c r="BG46" s="1">
        <v>0</v>
      </c>
      <c r="BH46" s="1">
        <v>2777</v>
      </c>
      <c r="BI46" s="1">
        <v>316</v>
      </c>
      <c r="BJ46" s="1">
        <v>3093</v>
      </c>
      <c r="BK46" s="9">
        <v>2300</v>
      </c>
      <c r="BL46" s="9">
        <v>0</v>
      </c>
      <c r="BM46" s="9">
        <v>2300</v>
      </c>
      <c r="BN46" s="9">
        <v>690</v>
      </c>
      <c r="BO46" s="9">
        <v>0</v>
      </c>
      <c r="BP46" s="9">
        <v>690</v>
      </c>
      <c r="BQ46" s="1">
        <v>0</v>
      </c>
      <c r="BR46" s="1">
        <v>0</v>
      </c>
      <c r="BS46" s="1">
        <v>0</v>
      </c>
      <c r="BT46" s="12">
        <f t="shared" si="0"/>
        <v>2990</v>
      </c>
      <c r="BU46" s="12">
        <f t="shared" si="1"/>
        <v>0</v>
      </c>
      <c r="BV46" s="12">
        <f t="shared" si="2"/>
        <v>2990</v>
      </c>
      <c r="BW46" s="1">
        <v>19490</v>
      </c>
      <c r="BX46" s="1">
        <v>2301</v>
      </c>
      <c r="BY46" s="1">
        <v>21791</v>
      </c>
      <c r="BZ46" s="1">
        <v>233880</v>
      </c>
      <c r="CA46" s="1">
        <v>27612</v>
      </c>
      <c r="CB46" s="1">
        <v>261492</v>
      </c>
      <c r="CC46" s="1">
        <v>2301</v>
      </c>
      <c r="CD46" s="1">
        <v>15000</v>
      </c>
      <c r="CE46" s="1">
        <v>1734</v>
      </c>
      <c r="CF46" s="1">
        <v>16734</v>
      </c>
      <c r="CG46" s="1">
        <v>1406</v>
      </c>
      <c r="CH46" s="1">
        <v>238</v>
      </c>
      <c r="CI46" s="1">
        <v>1644</v>
      </c>
      <c r="CJ46" s="1">
        <v>200</v>
      </c>
      <c r="CK46" s="1">
        <v>0</v>
      </c>
      <c r="CL46" s="1">
        <v>200</v>
      </c>
      <c r="CM46" s="1">
        <v>107</v>
      </c>
      <c r="CN46" s="1">
        <v>13</v>
      </c>
      <c r="CO46" s="1">
        <v>120</v>
      </c>
      <c r="CP46" s="1">
        <v>1</v>
      </c>
    </row>
    <row r="47" spans="1:94" ht="24" x14ac:dyDescent="0.25">
      <c r="A47" s="2" t="s">
        <v>143</v>
      </c>
      <c r="B47" s="3" t="s">
        <v>191</v>
      </c>
      <c r="C47" s="4" t="s">
        <v>194</v>
      </c>
      <c r="D47" s="5" t="s">
        <v>198</v>
      </c>
      <c r="G47" s="1" t="s">
        <v>94</v>
      </c>
      <c r="H47" s="1" t="s">
        <v>201</v>
      </c>
      <c r="I47" s="1" t="s">
        <v>96</v>
      </c>
      <c r="K47" s="1">
        <v>23835</v>
      </c>
      <c r="L47" s="6">
        <v>8.2093381221139045E-2</v>
      </c>
      <c r="M47" s="7">
        <v>6.9522832221652134E-2</v>
      </c>
      <c r="N47" s="8" t="s">
        <v>253</v>
      </c>
      <c r="O47" s="8" t="s">
        <v>203</v>
      </c>
      <c r="P47" s="1" t="s">
        <v>249</v>
      </c>
      <c r="Q47" s="1" t="s">
        <v>252</v>
      </c>
      <c r="R47" s="1">
        <v>1600</v>
      </c>
      <c r="U47" s="1">
        <v>6000</v>
      </c>
      <c r="V47" s="1">
        <v>0</v>
      </c>
      <c r="W47" s="1">
        <v>6000</v>
      </c>
      <c r="X47" s="1">
        <v>5000</v>
      </c>
      <c r="Y47" s="1">
        <v>0</v>
      </c>
      <c r="Z47" s="1">
        <v>5000</v>
      </c>
      <c r="AA47" s="1">
        <v>800</v>
      </c>
      <c r="AB47" s="1">
        <v>200</v>
      </c>
      <c r="AC47" s="1">
        <v>1000</v>
      </c>
      <c r="AD47" s="1">
        <v>1600</v>
      </c>
      <c r="AE47" s="1">
        <v>0</v>
      </c>
      <c r="AF47" s="1">
        <v>1600</v>
      </c>
      <c r="AG47" s="1">
        <v>3313</v>
      </c>
      <c r="AH47" s="1">
        <v>971</v>
      </c>
      <c r="AI47" s="1">
        <v>4284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16713</v>
      </c>
      <c r="AQ47" s="1">
        <v>1171</v>
      </c>
      <c r="AR47" s="1">
        <v>17884</v>
      </c>
      <c r="AS47" s="1">
        <v>1523</v>
      </c>
      <c r="AT47" s="1">
        <v>152</v>
      </c>
      <c r="AU47" s="1">
        <v>1675</v>
      </c>
      <c r="AV47" s="1">
        <v>465</v>
      </c>
      <c r="AW47" s="1">
        <v>32</v>
      </c>
      <c r="AX47" s="1">
        <v>497</v>
      </c>
      <c r="AY47" s="1">
        <v>289</v>
      </c>
      <c r="AZ47" s="1">
        <v>0</v>
      </c>
      <c r="BA47" s="1">
        <v>289</v>
      </c>
      <c r="BB47" s="1">
        <v>500</v>
      </c>
      <c r="BC47" s="1">
        <v>0</v>
      </c>
      <c r="BD47" s="1">
        <v>500</v>
      </c>
      <c r="BE47" s="1">
        <v>0</v>
      </c>
      <c r="BF47" s="1">
        <v>0</v>
      </c>
      <c r="BG47" s="1">
        <v>0</v>
      </c>
      <c r="BH47" s="1">
        <v>2777</v>
      </c>
      <c r="BI47" s="1">
        <v>184</v>
      </c>
      <c r="BJ47" s="1">
        <v>2961</v>
      </c>
      <c r="BK47" s="9">
        <v>2300</v>
      </c>
      <c r="BL47" s="9">
        <v>0</v>
      </c>
      <c r="BM47" s="9">
        <v>2300</v>
      </c>
      <c r="BN47" s="9">
        <v>690</v>
      </c>
      <c r="BO47" s="9">
        <v>0</v>
      </c>
      <c r="BP47" s="9">
        <v>690</v>
      </c>
      <c r="BQ47" s="1">
        <v>0</v>
      </c>
      <c r="BR47" s="1">
        <v>0</v>
      </c>
      <c r="BS47" s="1">
        <v>0</v>
      </c>
      <c r="BT47" s="12">
        <f t="shared" si="0"/>
        <v>2990</v>
      </c>
      <c r="BU47" s="12">
        <f t="shared" si="1"/>
        <v>0</v>
      </c>
      <c r="BV47" s="12">
        <f t="shared" si="2"/>
        <v>2990</v>
      </c>
      <c r="BW47" s="1">
        <v>19490</v>
      </c>
      <c r="BX47" s="1">
        <v>1355</v>
      </c>
      <c r="BY47" s="1">
        <v>20845</v>
      </c>
      <c r="BZ47" s="1">
        <v>233880</v>
      </c>
      <c r="CA47" s="1">
        <v>16260</v>
      </c>
      <c r="CB47" s="1">
        <v>250140</v>
      </c>
      <c r="CC47" s="1">
        <v>6252</v>
      </c>
      <c r="CD47" s="1">
        <v>15000</v>
      </c>
      <c r="CE47" s="1">
        <v>1023</v>
      </c>
      <c r="CF47" s="1">
        <v>16023</v>
      </c>
      <c r="CG47" s="1">
        <v>1406</v>
      </c>
      <c r="CH47" s="1">
        <v>141</v>
      </c>
      <c r="CI47" s="1">
        <v>1547</v>
      </c>
      <c r="CJ47" s="1">
        <v>200</v>
      </c>
      <c r="CK47" s="1">
        <v>0</v>
      </c>
      <c r="CL47" s="1">
        <v>200</v>
      </c>
      <c r="CM47" s="1">
        <v>107</v>
      </c>
      <c r="CN47" s="1">
        <v>7</v>
      </c>
      <c r="CO47" s="1">
        <v>114</v>
      </c>
      <c r="CP47" s="1">
        <v>1</v>
      </c>
    </row>
    <row r="48" spans="1:94" ht="24" x14ac:dyDescent="0.25">
      <c r="A48" s="2" t="s">
        <v>144</v>
      </c>
      <c r="B48" s="3" t="s">
        <v>192</v>
      </c>
      <c r="C48" s="4" t="s">
        <v>194</v>
      </c>
      <c r="D48" s="5" t="s">
        <v>196</v>
      </c>
      <c r="G48" s="1" t="s">
        <v>94</v>
      </c>
      <c r="H48" s="1" t="s">
        <v>95</v>
      </c>
      <c r="I48" s="1" t="s">
        <v>96</v>
      </c>
      <c r="K48" s="1">
        <v>44517</v>
      </c>
      <c r="L48" s="6">
        <v>8.5271937538305753E-2</v>
      </c>
      <c r="M48" s="7">
        <v>7.1948197297945479E-2</v>
      </c>
      <c r="N48" s="8" t="s">
        <v>253</v>
      </c>
      <c r="O48" s="8" t="s">
        <v>203</v>
      </c>
      <c r="P48" s="1" t="s">
        <v>250</v>
      </c>
      <c r="Q48" s="1" t="s">
        <v>252</v>
      </c>
      <c r="R48" s="1">
        <v>3200</v>
      </c>
      <c r="U48" s="1">
        <v>12000</v>
      </c>
      <c r="V48" s="1">
        <v>0</v>
      </c>
      <c r="W48" s="1">
        <v>12000</v>
      </c>
      <c r="X48" s="1">
        <v>10000</v>
      </c>
      <c r="Y48" s="1">
        <v>0</v>
      </c>
      <c r="Z48" s="1">
        <v>10000</v>
      </c>
      <c r="AA48" s="1">
        <v>800</v>
      </c>
      <c r="AB48" s="1">
        <v>200</v>
      </c>
      <c r="AC48" s="1">
        <v>1000</v>
      </c>
      <c r="AD48" s="1">
        <v>1600</v>
      </c>
      <c r="AE48" s="1">
        <v>0</v>
      </c>
      <c r="AF48" s="1">
        <v>1600</v>
      </c>
      <c r="AG48" s="1">
        <v>9600</v>
      </c>
      <c r="AH48" s="1">
        <v>2500</v>
      </c>
      <c r="AI48" s="1">
        <v>12100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34000</v>
      </c>
      <c r="AQ48" s="1">
        <v>2700</v>
      </c>
      <c r="AR48" s="1">
        <v>36700</v>
      </c>
      <c r="AS48" s="1">
        <v>1950</v>
      </c>
      <c r="AT48" s="1">
        <v>0</v>
      </c>
      <c r="AU48" s="1">
        <v>1950</v>
      </c>
      <c r="AV48" s="1">
        <v>0</v>
      </c>
      <c r="AW48" s="1">
        <v>0</v>
      </c>
      <c r="AX48" s="1">
        <v>0</v>
      </c>
      <c r="AY48" s="1">
        <v>577</v>
      </c>
      <c r="AZ48" s="1">
        <v>0</v>
      </c>
      <c r="BA48" s="1">
        <v>577</v>
      </c>
      <c r="BB48" s="1">
        <v>1000</v>
      </c>
      <c r="BC48" s="1">
        <v>0</v>
      </c>
      <c r="BD48" s="1">
        <v>1000</v>
      </c>
      <c r="BE48" s="1">
        <v>0</v>
      </c>
      <c r="BF48" s="1">
        <v>0</v>
      </c>
      <c r="BG48" s="1">
        <v>0</v>
      </c>
      <c r="BH48" s="1">
        <v>3527</v>
      </c>
      <c r="BI48" s="1">
        <v>0</v>
      </c>
      <c r="BJ48" s="1">
        <v>3527</v>
      </c>
      <c r="BK48" s="9">
        <v>3300</v>
      </c>
      <c r="BL48" s="9">
        <v>0</v>
      </c>
      <c r="BM48" s="9">
        <v>3300</v>
      </c>
      <c r="BN48" s="9">
        <v>990</v>
      </c>
      <c r="BO48" s="9">
        <v>0</v>
      </c>
      <c r="BP48" s="9">
        <v>990</v>
      </c>
      <c r="BQ48" s="1">
        <v>0</v>
      </c>
      <c r="BR48" s="1">
        <v>0</v>
      </c>
      <c r="BS48" s="1">
        <v>0</v>
      </c>
      <c r="BT48" s="12">
        <f t="shared" si="0"/>
        <v>4290</v>
      </c>
      <c r="BU48" s="12">
        <f t="shared" si="1"/>
        <v>0</v>
      </c>
      <c r="BV48" s="12">
        <f t="shared" si="2"/>
        <v>4290</v>
      </c>
      <c r="BW48" s="1">
        <v>37527</v>
      </c>
      <c r="BX48" s="1">
        <v>2700</v>
      </c>
      <c r="BY48" s="1">
        <v>40227</v>
      </c>
      <c r="BZ48" s="1">
        <v>450324</v>
      </c>
      <c r="CA48" s="1">
        <v>32400</v>
      </c>
      <c r="CB48" s="1">
        <v>482724</v>
      </c>
      <c r="CC48" s="1">
        <v>6252</v>
      </c>
      <c r="CD48" s="1">
        <v>32000</v>
      </c>
      <c r="CE48" s="1">
        <v>2700</v>
      </c>
      <c r="CF48" s="1">
        <v>34700</v>
      </c>
      <c r="CG48" s="1">
        <v>1800</v>
      </c>
      <c r="CH48" s="1">
        <v>0</v>
      </c>
      <c r="CI48" s="1">
        <v>1800</v>
      </c>
      <c r="CJ48" s="1">
        <v>200</v>
      </c>
      <c r="CK48" s="1">
        <v>0</v>
      </c>
      <c r="CL48" s="1">
        <v>200</v>
      </c>
      <c r="CM48" s="1">
        <v>0</v>
      </c>
      <c r="CN48" s="1">
        <v>0</v>
      </c>
      <c r="CO48" s="1">
        <v>0</v>
      </c>
      <c r="CP48" s="1">
        <v>2</v>
      </c>
    </row>
    <row r="49" spans="1:94" ht="24" x14ac:dyDescent="0.25">
      <c r="A49" s="2" t="s">
        <v>145</v>
      </c>
      <c r="B49" s="3" t="s">
        <v>193</v>
      </c>
      <c r="C49" s="4" t="s">
        <v>194</v>
      </c>
      <c r="D49" s="5" t="s">
        <v>196</v>
      </c>
      <c r="G49" s="1" t="s">
        <v>94</v>
      </c>
      <c r="H49" s="1" t="s">
        <v>95</v>
      </c>
      <c r="I49" s="1" t="s">
        <v>96</v>
      </c>
      <c r="K49" s="1">
        <v>36228</v>
      </c>
      <c r="L49" s="6">
        <v>0.10934937124111536</v>
      </c>
      <c r="M49" s="7">
        <v>9.1375068343357027E-2</v>
      </c>
      <c r="N49" s="8" t="s">
        <v>253</v>
      </c>
      <c r="O49" s="8" t="s">
        <v>203</v>
      </c>
      <c r="P49" s="1" t="s">
        <v>251</v>
      </c>
      <c r="Q49" s="1" t="s">
        <v>252</v>
      </c>
      <c r="R49" s="1">
        <v>3200</v>
      </c>
      <c r="U49" s="1">
        <v>10000</v>
      </c>
      <c r="V49" s="1">
        <v>0</v>
      </c>
      <c r="W49" s="1">
        <v>10000</v>
      </c>
      <c r="X49" s="1">
        <v>7000</v>
      </c>
      <c r="Y49" s="1">
        <v>0</v>
      </c>
      <c r="Z49" s="1">
        <v>7000</v>
      </c>
      <c r="AA49" s="1">
        <v>800</v>
      </c>
      <c r="AB49" s="1">
        <v>200</v>
      </c>
      <c r="AC49" s="1">
        <v>1000</v>
      </c>
      <c r="AD49" s="1">
        <v>1600</v>
      </c>
      <c r="AE49" s="1">
        <v>0</v>
      </c>
      <c r="AF49" s="1">
        <v>1600</v>
      </c>
      <c r="AG49" s="1">
        <v>6600</v>
      </c>
      <c r="AH49" s="1">
        <v>2474</v>
      </c>
      <c r="AI49" s="1">
        <v>9074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26000</v>
      </c>
      <c r="AQ49" s="1">
        <v>2674</v>
      </c>
      <c r="AR49" s="1">
        <v>28674</v>
      </c>
      <c r="AS49" s="1">
        <v>1950</v>
      </c>
      <c r="AT49" s="1">
        <v>0</v>
      </c>
      <c r="AU49" s="1">
        <v>1950</v>
      </c>
      <c r="AV49" s="1">
        <v>0</v>
      </c>
      <c r="AW49" s="1">
        <v>0</v>
      </c>
      <c r="AX49" s="1">
        <v>0</v>
      </c>
      <c r="AY49" s="1">
        <v>481</v>
      </c>
      <c r="AZ49" s="1">
        <v>0</v>
      </c>
      <c r="BA49" s="1">
        <v>481</v>
      </c>
      <c r="BB49" s="1">
        <v>833</v>
      </c>
      <c r="BC49" s="1">
        <v>0</v>
      </c>
      <c r="BD49" s="1">
        <v>833</v>
      </c>
      <c r="BE49" s="1">
        <v>0</v>
      </c>
      <c r="BF49" s="1">
        <v>0</v>
      </c>
      <c r="BG49" s="1">
        <v>0</v>
      </c>
      <c r="BH49" s="1">
        <v>3264</v>
      </c>
      <c r="BI49" s="1">
        <v>0</v>
      </c>
      <c r="BJ49" s="1">
        <v>3264</v>
      </c>
      <c r="BK49" s="11">
        <v>3300</v>
      </c>
      <c r="BL49" s="11">
        <v>0</v>
      </c>
      <c r="BM49" s="11">
        <v>3300</v>
      </c>
      <c r="BN49" s="11">
        <v>990</v>
      </c>
      <c r="BO49" s="11">
        <v>0</v>
      </c>
      <c r="BP49" s="11">
        <v>990</v>
      </c>
      <c r="BQ49" s="1">
        <v>0</v>
      </c>
      <c r="BR49" s="1">
        <v>0</v>
      </c>
      <c r="BS49" s="1">
        <v>0</v>
      </c>
      <c r="BT49" s="12">
        <f t="shared" si="0"/>
        <v>4290</v>
      </c>
      <c r="BU49" s="12">
        <f t="shared" si="1"/>
        <v>0</v>
      </c>
      <c r="BV49" s="12">
        <f t="shared" si="2"/>
        <v>4290</v>
      </c>
      <c r="BW49" s="1">
        <v>29264</v>
      </c>
      <c r="BX49" s="1">
        <v>2674</v>
      </c>
      <c r="BY49" s="1">
        <v>31938</v>
      </c>
      <c r="BZ49" s="1">
        <v>351168</v>
      </c>
      <c r="CA49" s="1">
        <v>32088</v>
      </c>
      <c r="CB49" s="1">
        <v>383256</v>
      </c>
      <c r="CC49" s="1">
        <v>6252</v>
      </c>
      <c r="CD49" s="1">
        <v>24000</v>
      </c>
      <c r="CE49" s="1">
        <v>2674</v>
      </c>
      <c r="CF49" s="1">
        <v>26674</v>
      </c>
      <c r="CG49" s="1">
        <v>1800</v>
      </c>
      <c r="CH49" s="1">
        <v>0</v>
      </c>
      <c r="CI49" s="1">
        <v>1800</v>
      </c>
      <c r="CJ49" s="1">
        <v>200</v>
      </c>
      <c r="CK49" s="1">
        <v>0</v>
      </c>
      <c r="CL49" s="1">
        <v>200</v>
      </c>
      <c r="CM49" s="1">
        <v>0</v>
      </c>
      <c r="CN49" s="1">
        <v>0</v>
      </c>
      <c r="CO49" s="1">
        <v>0</v>
      </c>
      <c r="CP49" s="1">
        <v>2</v>
      </c>
    </row>
    <row r="50" spans="1:94" x14ac:dyDescent="0.25">
      <c r="M50" s="7"/>
    </row>
    <row r="51" spans="1:94" x14ac:dyDescent="0.25">
      <c r="M51" s="7"/>
    </row>
    <row r="52" spans="1:94" x14ac:dyDescent="0.25">
      <c r="M52" s="7"/>
    </row>
    <row r="53" spans="1:94" x14ac:dyDescent="0.25">
      <c r="M53" s="7"/>
    </row>
    <row r="54" spans="1:94" x14ac:dyDescent="0.25">
      <c r="M54" s="7"/>
    </row>
    <row r="55" spans="1:94" x14ac:dyDescent="0.25">
      <c r="M55" s="7"/>
    </row>
    <row r="56" spans="1:94" x14ac:dyDescent="0.25">
      <c r="M56" s="7"/>
    </row>
    <row r="57" spans="1:94" x14ac:dyDescent="0.25">
      <c r="M57" s="7"/>
    </row>
    <row r="58" spans="1:94" x14ac:dyDescent="0.25">
      <c r="M58" s="7"/>
    </row>
    <row r="59" spans="1:94" x14ac:dyDescent="0.25">
      <c r="M59" s="7"/>
    </row>
    <row r="60" spans="1:94" x14ac:dyDescent="0.25">
      <c r="M60" s="7"/>
    </row>
    <row r="61" spans="1:94" x14ac:dyDescent="0.25">
      <c r="M61" s="7"/>
    </row>
    <row r="62" spans="1:94" x14ac:dyDescent="0.25">
      <c r="M62" s="7"/>
    </row>
    <row r="63" spans="1:94" x14ac:dyDescent="0.25">
      <c r="M63" s="7"/>
    </row>
    <row r="64" spans="1:94" x14ac:dyDescent="0.25">
      <c r="M64" s="7"/>
    </row>
    <row r="65" spans="13:13" x14ac:dyDescent="0.25">
      <c r="M65" s="7"/>
    </row>
    <row r="66" spans="13:13" x14ac:dyDescent="0.25">
      <c r="M66" s="7"/>
    </row>
    <row r="67" spans="13:13" x14ac:dyDescent="0.25">
      <c r="M67" s="7"/>
    </row>
    <row r="68" spans="13:13" x14ac:dyDescent="0.25">
      <c r="M68" s="7"/>
    </row>
    <row r="69" spans="13:13" x14ac:dyDescent="0.25">
      <c r="M69" s="7"/>
    </row>
  </sheetData>
  <conditionalFormatting sqref="A19:A49 A2:A17">
    <cfRule type="duplicateValues" dxfId="2" priority="3"/>
  </conditionalFormatting>
  <conditionalFormatting sqref="B19:B49 B2:B1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2025-12-25T10:54:58Z</dcterms:modified>
</cp:coreProperties>
</file>